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TEEADU\Desktop\Prodigy Info Tech Internship\Task 1\"/>
    </mc:Choice>
  </mc:AlternateContent>
  <bookViews>
    <workbookView xWindow="0" yWindow="0" windowWidth="20490" windowHeight="9195" activeTab="1"/>
  </bookViews>
  <sheets>
    <sheet name="Pivot Table" sheetId="2" r:id="rId1"/>
    <sheet name="Dashboard" sheetId="3" r:id="rId2"/>
    <sheet name="Metadata_Country_API_SP.POP.TOT" sheetId="1" r:id="rId3"/>
  </sheets>
  <definedNames>
    <definedName name="_xlcn.WorksheetConnection_Incomegroupincompleteversion1.xlsbTable11" hidden="1">Table1[]</definedName>
    <definedName name="Slicer_IncomeGroup1">#N/A</definedName>
    <definedName name="Slicer_Region1">#N/A</definedName>
  </definedNames>
  <calcPr calcId="152511"/>
  <pivotCaches>
    <pivotCache cacheId="0" r:id="rId4"/>
    <pivotCache cacheId="1" r:id="rId5"/>
    <pivotCache cacheId="2" r:id="rId6"/>
    <pivotCache cacheId="3" r:id="rId7"/>
    <pivotCache cacheId="4" r:id="rId8"/>
    <pivotCache cacheId="5" r:id="rId9"/>
  </pivotCaches>
  <extLst>
    <ext xmlns:x14="http://schemas.microsoft.com/office/spreadsheetml/2009/9/main" uri="{876F7934-8845-4945-9796-88D515C7AA90}">
      <x14:pivotCaches>
        <pivotCache cacheId="6" r:id="rId10"/>
      </x14:pivotCaches>
    </ex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d13acf93-539d-40d1-b0cd-62625fd977b5" name="Table1" connection="WorksheetConnection_Income group (incomplete) (version 1).xlsb!Table1"/>
        </x15:modelTables>
      </x15:dataModel>
    </ext>
  </extLst>
</workbook>
</file>

<file path=xl/calcChain.xml><?xml version="1.0" encoding="utf-8"?>
<calcChain xmlns="http://schemas.openxmlformats.org/spreadsheetml/2006/main">
  <c r="D71" i="2" l="1"/>
  <c r="D65" i="2"/>
  <c r="O12" i="2"/>
  <c r="Q12" i="2"/>
  <c r="P12" i="2"/>
</calcChain>
</file>

<file path=xl/connections.xml><?xml version="1.0" encoding="utf-8"?>
<connections xmlns="http://schemas.openxmlformats.org/spreadsheetml/2006/main">
  <connection id="1" keepAlive="1" name="ThisWorkbookDataModel" description="Data Model" type="5" refreshedVersion="5"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Income group (incomplete) (version 1).xlsb!Table1" type="102" refreshedVersion="5" minRefreshableVersion="5">
    <extLst>
      <ext xmlns:x15="http://schemas.microsoft.com/office/spreadsheetml/2010/11/main" uri="{DE250136-89BD-433C-8126-D09CA5730AF9}">
        <x15:connection id="Table1-d13acf93-539d-40d1-b0cd-62625fd977b5" autoDelete="1">
          <x15:rangePr sourceName="_xlcn.WorksheetConnection_Incomegroupincompleteversion1.xlsbTable11"/>
        </x15:connection>
      </ext>
    </extLst>
  </connection>
</connections>
</file>

<file path=xl/sharedStrings.xml><?xml version="1.0" encoding="utf-8"?>
<sst xmlns="http://schemas.openxmlformats.org/spreadsheetml/2006/main" count="1390" uniqueCount="663">
  <si>
    <t>Country Code</t>
  </si>
  <si>
    <t>Region</t>
  </si>
  <si>
    <t>IncomeGroup</t>
  </si>
  <si>
    <t>SpecialNotes</t>
  </si>
  <si>
    <t>TableName</t>
  </si>
  <si>
    <t>ABW</t>
  </si>
  <si>
    <t>Latin America &amp; Caribbean</t>
  </si>
  <si>
    <t>High income</t>
  </si>
  <si>
    <t>Aruba</t>
  </si>
  <si>
    <t>AFE</t>
  </si>
  <si>
    <t>26 countries, stretching from the Red Sea in the North to the Cape of Good Hope in the South (https://www.worldbank.org/en/region/afr/eastern-and-southern-africa)</t>
  </si>
  <si>
    <t>Africa Eastern and Southern</t>
  </si>
  <si>
    <t>AFG</t>
  </si>
  <si>
    <t>Middle East, North Africa, Afghanistan &amp; Pakistan</t>
  </si>
  <si>
    <t>Low income</t>
  </si>
  <si>
    <t>The reporting period for national accounts data is designated as either calendar year basis (CY) or fiscal year basis (FY). For this country, it is fiscal year-based (fiscal year-end: March 20).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1960-2006. Alternative conversion factors are used in the Atlas methodology and elsewhere in World Development Indicators as single-year conversion factors.</t>
  </si>
  <si>
    <t>Afghanistan</t>
  </si>
  <si>
    <t>AFW</t>
  </si>
  <si>
    <t>22 countries, stretching from the westernmost point of Africa, across the equator, and partly along the Atlantic Ocean till the Republic of Congo in the South (https://www.worldbank.org/en/region/afr/western-and-central-africa)</t>
  </si>
  <si>
    <t>Africa Western and Central</t>
  </si>
  <si>
    <t>AGO</t>
  </si>
  <si>
    <t>Sub-Saharan Africa</t>
  </si>
  <si>
    <t>Lower middle income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</si>
  <si>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1994-2024. Alternative conversion factors are used in the Atlas methodology and elsewhere in World Development Indicators as single-year conversion factors.</t>
  </si>
  <si>
    <t>Angola</t>
  </si>
  <si>
    <t>ALB</t>
  </si>
  <si>
    <t>Europe &amp; Central Asia</t>
  </si>
  <si>
    <t>Upper middle income</t>
  </si>
  <si>
    <t>Albania</t>
  </si>
  <si>
    <t>AND</t>
  </si>
  <si>
    <t>Andorra</t>
  </si>
  <si>
    <t>ARB</t>
  </si>
  <si>
    <t>Arab World aggregate. Arab World is composed of members of the League of Arab States.</t>
  </si>
  <si>
    <t>Arab World</t>
  </si>
  <si>
    <t>ARE</t>
  </si>
  <si>
    <t>United Arab Emirates</t>
  </si>
  <si>
    <t>ARG</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</si>
  <si>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1971-2018. Alternative conversion factors are used in the Atlas methodology and elsewhere in World Development Indicators as single-year conversion factors.</t>
  </si>
  <si>
    <t>Argentina</t>
  </si>
  <si>
    <t>ARM</t>
  </si>
  <si>
    <t>Armenia</t>
  </si>
  <si>
    <t>ASM</t>
  </si>
  <si>
    <t>East Asia &amp; Pacific</t>
  </si>
  <si>
    <t>American Samoa</t>
  </si>
  <si>
    <t>ATG</t>
  </si>
  <si>
    <t>Antigua and Barbuda</t>
  </si>
  <si>
    <t>AUS</t>
  </si>
  <si>
    <t>Australia</t>
  </si>
  <si>
    <t>AUT</t>
  </si>
  <si>
    <t>A simple multiplier is used to convert the national currencies of EMU members to euros. The following irrevocable euro conversion rate was adopted by the EU Council on January 1, 1999: 1 euro = 13.7603 Austrian schilling. Please note that historical data before 1999 are not actual euros and are not comparable or suitable for aggregation across countries.</t>
  </si>
  <si>
    <t>Austria</t>
  </si>
  <si>
    <t>AZE</t>
  </si>
  <si>
    <t>Azerbaijan</t>
  </si>
  <si>
    <t>BDI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</si>
  <si>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1983-2024. Alternative conversion factors are used in the Atlas methodology and elsewhere in World Development Indicators as single-year conversion factors.</t>
  </si>
  <si>
    <t>Burundi</t>
  </si>
  <si>
    <t>BEL</t>
  </si>
  <si>
    <t>A simple multiplier is used to convert the national currencies of EMU members to euros. The following irrevocable euro conversion rate was adopted by the EU Council on January 1, 1999: 1 euro = 40.3399 Belgian franc. Please note that historical data before 1999 are not actual euros and are not comparable or suitable for aggregation across countries.</t>
  </si>
  <si>
    <t>Belgium</t>
  </si>
  <si>
    <t>BEN</t>
  </si>
  <si>
    <t>Benin</t>
  </si>
  <si>
    <t>BFA</t>
  </si>
  <si>
    <t>Burkina Faso</t>
  </si>
  <si>
    <t>BGD</t>
  </si>
  <si>
    <t>South Asia</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</si>
  <si>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t>
  </si>
  <si>
    <t>Bangladesh</t>
  </si>
  <si>
    <t>BGR</t>
  </si>
  <si>
    <t>Bulgaria</t>
  </si>
  <si>
    <t>BHR</t>
  </si>
  <si>
    <t>Bahrain</t>
  </si>
  <si>
    <t>BHS</t>
  </si>
  <si>
    <t>Bahamas, The</t>
  </si>
  <si>
    <t>BIH</t>
  </si>
  <si>
    <t>Bosnia and Herzegovina</t>
  </si>
  <si>
    <t>BLR</t>
  </si>
  <si>
    <t>Data before 2015 were adjusted to reflect the new denomination effective from July 1, 2016 (BYN), a decrease of 10,000 times (1 BYN = 10,000 BYR)</t>
  </si>
  <si>
    <t>Belarus</t>
  </si>
  <si>
    <t>BLZ</t>
  </si>
  <si>
    <t>Belize</t>
  </si>
  <si>
    <t>BMU</t>
  </si>
  <si>
    <t>North America</t>
  </si>
  <si>
    <t>Bermuda</t>
  </si>
  <si>
    <t>BOL</t>
  </si>
  <si>
    <t>Bolivia</t>
  </si>
  <si>
    <t>BRA</t>
  </si>
  <si>
    <t>Brazil</t>
  </si>
  <si>
    <t>BRB</t>
  </si>
  <si>
    <t>Barbados</t>
  </si>
  <si>
    <t>BRN</t>
  </si>
  <si>
    <t>Brunei Darussalam</t>
  </si>
  <si>
    <t>BTN</t>
  </si>
  <si>
    <t>Bhutan</t>
  </si>
  <si>
    <t>BWA</t>
  </si>
  <si>
    <t>Botswana</t>
  </si>
  <si>
    <t>CAF</t>
  </si>
  <si>
    <t>Central African Republic</t>
  </si>
  <si>
    <t>CAN</t>
  </si>
  <si>
    <t>Fiscal year end: March 31; reporting period for national accounts data: CY.</t>
  </si>
  <si>
    <t>Canada</t>
  </si>
  <si>
    <t>CEB</t>
  </si>
  <si>
    <t>Central Europe and the Baltics aggregate.</t>
  </si>
  <si>
    <t>Central Europe and the Baltics</t>
  </si>
  <si>
    <t>CHE</t>
  </si>
  <si>
    <t>Switzerland</t>
  </si>
  <si>
    <t>CHI</t>
  </si>
  <si>
    <t>Channel Islands</t>
  </si>
  <si>
    <t>CHL</t>
  </si>
  <si>
    <t>Chile</t>
  </si>
  <si>
    <t>CHN</t>
  </si>
  <si>
    <t>On 1 July 1997 China resumed its exercise of sovereignty over Hong Kong, and on 20 December 1999, China resumed its exercise of sovereignty over Macao. Unless otherwise noted, data for China do not include data for Hong Kong SAR, China; Macao SAR, China; or Taiwan, China.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1978-1993. Alternative conversion factors are used in the Atlas methodology and elsewhere in World Development Indicators as single-year conversion factors.</t>
  </si>
  <si>
    <t>China</t>
  </si>
  <si>
    <t>CIV</t>
  </si>
  <si>
    <t>Côte d'Ivoire</t>
  </si>
  <si>
    <t>CMR</t>
  </si>
  <si>
    <t>Cameroon</t>
  </si>
  <si>
    <t>COD</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</si>
  <si>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1999-2004. Alternative conversion factors are used in the Atlas methodology and elsewhere in World Development Indicators as single-year conversion factors.</t>
  </si>
  <si>
    <t>Congo, Dem. Rep.</t>
  </si>
  <si>
    <t>COG</t>
  </si>
  <si>
    <t>Congo, Rep.</t>
  </si>
  <si>
    <t>COL</t>
  </si>
  <si>
    <t>Colombia</t>
  </si>
  <si>
    <t>COM</t>
  </si>
  <si>
    <t>Comoros</t>
  </si>
  <si>
    <t>CPV</t>
  </si>
  <si>
    <t>Cabo Verde</t>
  </si>
  <si>
    <t>CRI</t>
  </si>
  <si>
    <t>Costa Rica</t>
  </si>
  <si>
    <t>CSS</t>
  </si>
  <si>
    <t>Caribbean small states aggregate.</t>
  </si>
  <si>
    <t>Caribbean small states</t>
  </si>
  <si>
    <t>CUB</t>
  </si>
  <si>
    <t>Cuba</t>
  </si>
  <si>
    <t>CUW</t>
  </si>
  <si>
    <t>Curaçao</t>
  </si>
  <si>
    <t>CYM</t>
  </si>
  <si>
    <t>Cayman Islands</t>
  </si>
  <si>
    <t>CYP</t>
  </si>
  <si>
    <t>A simple multiplier is used to convert the national currencies of EMU members to euros. The following irrevocable euro conversion rate entered into force on January 1, 2008: 1 euro = 0.585274 Cyprus pounds. Please note that historical data are not actual euros and are not comparable or suitable for aggregation across countries.</t>
  </si>
  <si>
    <t>Cyprus</t>
  </si>
  <si>
    <t>CZE</t>
  </si>
  <si>
    <t>Czechia</t>
  </si>
  <si>
    <t>DEU</t>
  </si>
  <si>
    <t>A simple multiplier is used to convert the national currencies of EMU members to euros. The following irrevocable euro conversion rate was adopted by the EU Council on January 1, 1999: 1 euro = 1.95583 Deutsche Mark. Please note that historical data before 1999 are not actual euros and are not comparable or suitable for aggregation across countries.</t>
  </si>
  <si>
    <t>Germany</t>
  </si>
  <si>
    <t>DJI</t>
  </si>
  <si>
    <t>Djibouti</t>
  </si>
  <si>
    <t>DMA</t>
  </si>
  <si>
    <t>Dominica</t>
  </si>
  <si>
    <t>DNK</t>
  </si>
  <si>
    <t>Denmark</t>
  </si>
  <si>
    <t>DOM</t>
  </si>
  <si>
    <t>Dominican Republic</t>
  </si>
  <si>
    <t>DZA</t>
  </si>
  <si>
    <t>Algeria</t>
  </si>
  <si>
    <t>EAP</t>
  </si>
  <si>
    <t>East Asia &amp; Pacific (excluding high income)</t>
  </si>
  <si>
    <t>EAR</t>
  </si>
  <si>
    <t>Early-dividend countries are mostly lower-middle-income countries further along the fertility transition. Fertility rates have fallen below four births per woman and the working-age share of the population is likely rising considerably.</t>
  </si>
  <si>
    <t>Early-demographic dividend</t>
  </si>
  <si>
    <t>EAS</t>
  </si>
  <si>
    <t>East Asia and Pacific regional aggregate (includes all income levels).</t>
  </si>
  <si>
    <t>ECA</t>
  </si>
  <si>
    <t>Europe &amp; Central Asia (excluding high income)</t>
  </si>
  <si>
    <t>ECS</t>
  </si>
  <si>
    <t>Europe and Central Asia regional aggregate (includes all income levels).</t>
  </si>
  <si>
    <t>ECU</t>
  </si>
  <si>
    <t>Ecuador</t>
  </si>
  <si>
    <t>EGY</t>
  </si>
  <si>
    <t>The reporting period for national accounts data is designated as either calendar year basis (CY) or fiscal year basis (FY). For this country, it is fiscal year-based (fiscal year-end: June 30) for the years 1980 and after. The data from 1973 to 1979 refer to the calendar year data.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1965-2021. Alternative conversion factors are used in the Atlas methodology and elsewhere in World Development Indicators as single-year conversion factors.
The national accounts data for Egypt has been updated to reflect local constant prices in the year 2022, moving from the previous reference of 2017.</t>
  </si>
  <si>
    <t>Egypt, Arab Rep.</t>
  </si>
  <si>
    <t>EMU</t>
  </si>
  <si>
    <t>Euro area aggregate.</t>
  </si>
  <si>
    <t>Euro area</t>
  </si>
  <si>
    <t>ERI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</si>
  <si>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1992-1997. Alternative conversion factors are used in the Atlas methodology and elsewhere in World Development Indicators as single-year conversion factors.</t>
  </si>
  <si>
    <t>Eritrea</t>
  </si>
  <si>
    <t>ESP</t>
  </si>
  <si>
    <t>A simple multiplier is used to convert the national currencies of EMU members to euros. The following irrevocable euro conversion rate was adopted by the EU Council on January 1, 1999: 1 euro = 166.386 Spanish peseta. Please note that historical data before 1999 are not actual euros and are not comparable or suitable for aggregation across countries.</t>
  </si>
  <si>
    <t>Spain</t>
  </si>
  <si>
    <t>EST</t>
  </si>
  <si>
    <t>The following irrevocable euro conversion rate entered into force on January 1, 2011: 1 euro = 15.6466 Estonian kroon. Please note that historical data are not actual euros and are not comparable or suitable for aggregation across countries.</t>
  </si>
  <si>
    <t>Estonia</t>
  </si>
  <si>
    <t>ETH</t>
  </si>
  <si>
    <t>The reporting period for national accounts data is designated as either calendar year basis (CY) or fiscal year basis (FY). For this country, it is fiscal year-based (fiscal year-end: July 7). Also, an estimate (PA.NUS.ATLS) of the exchange rate covers the same period and thus differs from the official exchange rate (CY).</t>
  </si>
  <si>
    <t>Ethiopia</t>
  </si>
  <si>
    <t>EUU</t>
  </si>
  <si>
    <t>European Union aggregate.</t>
  </si>
  <si>
    <t>European Union</t>
  </si>
  <si>
    <t>FCS</t>
  </si>
  <si>
    <t>Fragile and conflict-affected situations aggregate as of FY25 (July 1, 2024-June 30, 2025). Countries are distinguished based on the nature and severity of issues they face and classified into two categories: (i) Countries with significant institutional and social fragility, determined by indicators of policy quality and fragility. (ii) Countries experiencing violent conflict, classified by conflict-related deaths per capita and further divided into high-intensity and medium-intensity conflict subcategories. For more information, please visit https://www.worldbank.org/en/topic/fragilityconflictviolence/brief/classification-of-fragile-and-conflict-affected-situations.</t>
  </si>
  <si>
    <t>Fragile and conflict affected situations</t>
  </si>
  <si>
    <t>FIN</t>
  </si>
  <si>
    <t>A simple multiplier is used to convert the national currencies of EMU members to euros. The following irrevocable euro conversion rate was adopted by the EU Council on January 1, 1999: 1 euro = 5.94573 Finnish markka. Please note that historical data before 1999 are not actual euros and are not comparable or suitable for aggregation across countries.</t>
  </si>
  <si>
    <t>Finland</t>
  </si>
  <si>
    <t>FJI</t>
  </si>
  <si>
    <t>Fiji</t>
  </si>
  <si>
    <t>FRA</t>
  </si>
  <si>
    <t>The following irrevocable euro conversion rate was adopted by the EU Council on January 1, 1999: 1 euro = 6.55957 French franc. Please note that historical data before 1999 are not actual euros and are not comparable or suitable for aggregation across countries.</t>
  </si>
  <si>
    <t>France</t>
  </si>
  <si>
    <t>FRO</t>
  </si>
  <si>
    <t>Faroe Islands</t>
  </si>
  <si>
    <t>FSM</t>
  </si>
  <si>
    <t>Fiscal year ends on September 30; reporting period for national accounts data: FY. The source for national accounts data is the Pacific and Virgin Islands Training Initiative.</t>
  </si>
  <si>
    <t>Micronesia, Fed. Sts.</t>
  </si>
  <si>
    <t>GAB</t>
  </si>
  <si>
    <t>Gabon</t>
  </si>
  <si>
    <t>GBR</t>
  </si>
  <si>
    <t>United Kingdom</t>
  </si>
  <si>
    <t>GEO</t>
  </si>
  <si>
    <t>Includes self-governed areas only, which mostly exclude Abkhazia and South Ossetia, but small areas in Abkhazia and South Ossetia are included before 2008 or 2009 because of the changes in self-governed areas.</t>
  </si>
  <si>
    <t>Georgia</t>
  </si>
  <si>
    <t>GHA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</si>
  <si>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1974-1987. Alternative conversion factors are used in the Atlas methodology and elsewhere in World Development Indicators as single-year conversion factors.</t>
  </si>
  <si>
    <t>Ghana</t>
  </si>
  <si>
    <t>GIB</t>
  </si>
  <si>
    <t>The DEC conversion is not reported when national accounts data are unavailable.</t>
  </si>
  <si>
    <t>Gibraltar</t>
  </si>
  <si>
    <t>GIN</t>
  </si>
  <si>
    <t>Guinea</t>
  </si>
  <si>
    <t>GMB</t>
  </si>
  <si>
    <t>Gambia, The</t>
  </si>
  <si>
    <t>GNB</t>
  </si>
  <si>
    <t>Guinea-Bissau</t>
  </si>
  <si>
    <t>GNQ</t>
  </si>
  <si>
    <t>Equatorial Guinea</t>
  </si>
  <si>
    <t>GRC</t>
  </si>
  <si>
    <t>A simple multiplier is used to convert the national currencies of EMU members to euros. The following irrevocable euro conversion rate was adopted by the EU Council on January 1, 1999: 1 euro = 340.75 Greek drachma. Please note that historical data before 1999 are not actual euros and are not comparable or suitable for aggregation across countries.</t>
  </si>
  <si>
    <t>Greece</t>
  </si>
  <si>
    <t>GRD</t>
  </si>
  <si>
    <t>Grenada</t>
  </si>
  <si>
    <t>GRL</t>
  </si>
  <si>
    <t>Greenland</t>
  </si>
  <si>
    <t>GTM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</si>
  <si>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1985-2003. Alternative conversion factors are used in the Atlas methodology and elsewhere in World Development Indicators as single-year conversion factors.</t>
  </si>
  <si>
    <t>Guatemala</t>
  </si>
  <si>
    <t>GUM</t>
  </si>
  <si>
    <t>Guam</t>
  </si>
  <si>
    <t>GUY</t>
  </si>
  <si>
    <t>Guyana</t>
  </si>
  <si>
    <t>HIC</t>
  </si>
  <si>
    <t>High income group aggregate. High-income economies are those in which 2024 Atlas GNI per capita was more than $13,935.</t>
  </si>
  <si>
    <t>HKG</t>
  </si>
  <si>
    <t>On 1 July 1997 China resumed its exercise of sovereignty over Hong Kong. Unless otherwise noted, data for China do not include data for Hong Kong SAR, China; Macao SAR, China; or Taiwan, China. Agriculture value added includes mining and quarrying.</t>
  </si>
  <si>
    <t>Hong Kong SAR, China</t>
  </si>
  <si>
    <t>HND</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</si>
  <si>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1988-1989. Alternative conversion factors are used in the Atlas methodology and elsewhere in World Development Indicators as single-year conversion factors.</t>
  </si>
  <si>
    <t>Honduras</t>
  </si>
  <si>
    <t>HPC</t>
  </si>
  <si>
    <t>The Heavily Indebted Poor Countries (HIPC) Initiative, launched in 1996 by the IMF and World Bank, aims to reduce the external debt burdens of the most indebted poor countries. Most participants have completed the program, receiving a total of $76 billion in debt-service relief. For more information, visit https://www.imf.org/en/About/Factsheets/Sheets/2016/08/01/16/11/Debt-Relief-Under-the-Heavily-Indebted-Poor-Countries-Initiative. Data presented are aggregates for HIPC countries.</t>
  </si>
  <si>
    <t>Heavily indebted poor countries (HIPC)</t>
  </si>
  <si>
    <t>HRV</t>
  </si>
  <si>
    <t>A simple multiplier is used to convert the national currencies of EMU members to euros. The following irrevocable euro conversion rate entered into force on January 1, 2023: 1 euro = 7.53450 Croatian kuna. Please note that historical data are not actual euros and are not comparable or suitable for aggregation across countries.</t>
  </si>
  <si>
    <t>Croatia</t>
  </si>
  <si>
    <t>HTI</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</si>
  <si>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t>
  </si>
  <si>
    <t>Haiti</t>
  </si>
  <si>
    <t>HUN</t>
  </si>
  <si>
    <t>Hungary</t>
  </si>
  <si>
    <t>IBD</t>
  </si>
  <si>
    <t>IBRD only group aggregate.</t>
  </si>
  <si>
    <t>IBRD only</t>
  </si>
  <si>
    <t>IBT</t>
  </si>
  <si>
    <t>IDA and IBRD total group aggregate (includes IDA only, IDA blend, and IBRD only).</t>
  </si>
  <si>
    <t>IDA &amp; IBRD total</t>
  </si>
  <si>
    <t>IDA</t>
  </si>
  <si>
    <t>IDA total group aggregate (includes IDA only and IDA blend).</t>
  </si>
  <si>
    <t>IDA total</t>
  </si>
  <si>
    <t>IDB</t>
  </si>
  <si>
    <t>IDA blend group aggregate.</t>
  </si>
  <si>
    <t>IDA blend</t>
  </si>
  <si>
    <t>IDN</t>
  </si>
  <si>
    <t>Fiscal year end: March 31; reporting period for national accounts data: CY. Data for Indonesia include Timor-Leste through 1999 unless otherwise noted.</t>
  </si>
  <si>
    <t>Indonesia</t>
  </si>
  <si>
    <t>IDX</t>
  </si>
  <si>
    <t>IDA only group aggregate.</t>
  </si>
  <si>
    <t>IDA only</t>
  </si>
  <si>
    <t>IMN</t>
  </si>
  <si>
    <t>Classification for years after 2012 was adjusted and figures were re-estimated by the World Bank, based on the detailed data published by the Cabinet Office, and are not consistent with data for 2011 and before.</t>
  </si>
  <si>
    <t>Isle of Man</t>
  </si>
  <si>
    <t>IND</t>
  </si>
  <si>
    <t>The reporting period for national accounts data is designated as either calendar year basis (CY) or fiscal year basis (FY). For this country, it is fiscal year-based (fiscal year-end: March 31). Also, an estimate (PA.NUS.ATLS) of the exchange rate covers the same period and thus differs from the official exchange rate (CY).</t>
  </si>
  <si>
    <t>India</t>
  </si>
  <si>
    <t>IRL</t>
  </si>
  <si>
    <t>A simple multiplier is used to convert the national currencies of EMU members to euros. The following irrevocable euro conversion rate was adopted by the EU Council on January 1, 1999: 1 euro = 0.787564 Irish pound. Please note that historical data before 1999 are not actual euros and are not comparable or suitable for aggregation across countries.</t>
  </si>
  <si>
    <t>Ireland</t>
  </si>
  <si>
    <t>IRN</t>
  </si>
  <si>
    <t>The reporting period for national accounts data is designated as either calendar year basis (CY) or fiscal year basis (FY). For this country, it is fiscal year-based (fiscal year-end: March 20). Also,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1972-2024. Alternative conversion factors are used in the Atlas methodology and elsewhere in World Development Indicators as single-year conversion factors.</t>
  </si>
  <si>
    <t>Iran, Islamic Rep.</t>
  </si>
  <si>
    <t>IRQ</t>
  </si>
  <si>
    <t>Iraq</t>
  </si>
  <si>
    <t>ISL</t>
  </si>
  <si>
    <t>Iceland</t>
  </si>
  <si>
    <t>ISR</t>
  </si>
  <si>
    <t>Israel</t>
  </si>
  <si>
    <t>ITA</t>
  </si>
  <si>
    <t>A simple multiplier is used to convert the national currencies of EMU members to euros. The following irrevocable euro conversion rate was adopted by the EU Council on January 1, 1999: 1 euro = 1936.27 Italian lira. Please note that historical data before 1999 are not actual euros and are not comparable or suitable for aggregation across countries.</t>
  </si>
  <si>
    <t>Italy</t>
  </si>
  <si>
    <t>JAM</t>
  </si>
  <si>
    <t>Jamaica</t>
  </si>
  <si>
    <t>JOR</t>
  </si>
  <si>
    <t>Jordan</t>
  </si>
  <si>
    <t>JPN</t>
  </si>
  <si>
    <t>Japan</t>
  </si>
  <si>
    <t>KAZ</t>
  </si>
  <si>
    <t>Kazakhstan</t>
  </si>
  <si>
    <t>KEN</t>
  </si>
  <si>
    <t>Fiscal year end: June 30; reporting period for national accounts data: CY.</t>
  </si>
  <si>
    <t>Kenya</t>
  </si>
  <si>
    <t>KGZ</t>
  </si>
  <si>
    <t>Kyrgyz Republic</t>
  </si>
  <si>
    <t>KHM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</si>
  <si>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1963-2004. Alternative conversion factors are used in the Atlas methodology and elsewhere in World Development Indicators as single-year conversion factors.</t>
  </si>
  <si>
    <t>Cambodia</t>
  </si>
  <si>
    <t>KIR</t>
  </si>
  <si>
    <t>Kiribati</t>
  </si>
  <si>
    <t>KNA</t>
  </si>
  <si>
    <t>St. Kitts and Nevis</t>
  </si>
  <si>
    <t>KOR</t>
  </si>
  <si>
    <t>Korea, Rep.</t>
  </si>
  <si>
    <t>KWT</t>
  </si>
  <si>
    <t>Kuwait</t>
  </si>
  <si>
    <t>LAC</t>
  </si>
  <si>
    <t>Latin America &amp; Caribbean (excluding high income)</t>
  </si>
  <si>
    <t>LAO</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</si>
  <si>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1960-2020. Alternative conversion factors are used in the Atlas methodology and elsewhere in World Development Indicators as single-year conversion factors.</t>
  </si>
  <si>
    <t>Lao PDR</t>
  </si>
  <si>
    <t>LBN</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</si>
  <si>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1984-2024. Alternative conversion factors are used in the Atlas methodology and elsewhere in World Development Indicators as single-year conversion factors.</t>
  </si>
  <si>
    <t>Lebanon</t>
  </si>
  <si>
    <t>LBR</t>
  </si>
  <si>
    <t>National accounts data are provided in the US dollar.</t>
  </si>
  <si>
    <t>Liberia</t>
  </si>
  <si>
    <t>LBY</t>
  </si>
  <si>
    <t>Libya</t>
  </si>
  <si>
    <t>LCA</t>
  </si>
  <si>
    <t>St. Lucia</t>
  </si>
  <si>
    <t>LCN</t>
  </si>
  <si>
    <t>LDC</t>
  </si>
  <si>
    <t>Least developed countries: UN classification</t>
  </si>
  <si>
    <t>LIC</t>
  </si>
  <si>
    <t>Low income group aggregate. Low-income economies are those in which 2024 Atlas GNI per capita was $1,135 or less.</t>
  </si>
  <si>
    <t>LIE</t>
  </si>
  <si>
    <t>Liechtenstein</t>
  </si>
  <si>
    <t>LKA</t>
  </si>
  <si>
    <t>Sri Lanka</t>
  </si>
  <si>
    <t>LMC</t>
  </si>
  <si>
    <t>Lower middle income group aggregate. Lower-middle-income economies are those in which Atlas 2024 GNI per capita was between $1,136 and $4,495.</t>
  </si>
  <si>
    <t>LMY</t>
  </si>
  <si>
    <t>Low and middle-income group aggregate. Low and middle-income economies are those in which Atlas 2024 GNI per capita was less than $13,935.</t>
  </si>
  <si>
    <t>Low &amp; middle income</t>
  </si>
  <si>
    <t>LSO</t>
  </si>
  <si>
    <t>Lesotho</t>
  </si>
  <si>
    <t>LTE</t>
  </si>
  <si>
    <t>Late-dividend countries are mostly upper middle-income countries. Fertility rates are typically above replacement levels of 2.1 births per woman but continue to decline with shrinking working-age shares and rapid aging.</t>
  </si>
  <si>
    <t>Late-demographic dividend</t>
  </si>
  <si>
    <t>LTU</t>
  </si>
  <si>
    <t>A simple multiplier is used to convert the national currencies of EMU members to euros. The following irrevocable euro conversion rate entered into force on January 1, 2015: 1 euro = 3.45280 Lithuanian litas. Please note that historical data are not actual euros and are not comparable or suitable for aggregation across countries.</t>
  </si>
  <si>
    <t>Lithuania</t>
  </si>
  <si>
    <t>LUX</t>
  </si>
  <si>
    <t>A simple multiplier is used to convert the national currencies of EMU members to euros. The following irrevocable euro conversion rate was adopted by the EU Council on January 1, 1999: 1 euro = 40.3399 Luxembourg franc. Please note that historical data before 1999 are not actual euros and are not comparable or suitable for aggregation across countries.</t>
  </si>
  <si>
    <t>Luxembourg</t>
  </si>
  <si>
    <t>LVA</t>
  </si>
  <si>
    <t>A simple multiplier is used to convert the national currencies of EMU members to euros. The following irrevocable euro conversion rate entered into force on January 1, 2014: 1 euro = 0.702804 Latvian lats. Please note that historical data are not actual euros and are not comparable or suitable for aggregation across countries. Based on data from EUROSTAT, the new reference year is 2010.</t>
  </si>
  <si>
    <t>Latvia</t>
  </si>
  <si>
    <t>MAC</t>
  </si>
  <si>
    <t>On 20 December 1999 China resumed its exercise of sovereignty over Macao. Unless otherwise noted, data for China do not include data for Hong Kong SAR, China; Macao SAR, China; or Taiwan, China.</t>
  </si>
  <si>
    <t>Macao SAR, China</t>
  </si>
  <si>
    <t>MAF</t>
  </si>
  <si>
    <t>St. Martin (French part)</t>
  </si>
  <si>
    <t>MAR</t>
  </si>
  <si>
    <t>Morocco</t>
  </si>
  <si>
    <t>MCO</t>
  </si>
  <si>
    <t>Monaco</t>
  </si>
  <si>
    <t>MDA</t>
  </si>
  <si>
    <t>Excluding Transnistria. For 1950-94, World Bank estimates using UN World Population Prospects' growth rates of whole Moldova.</t>
  </si>
  <si>
    <t>Moldova</t>
  </si>
  <si>
    <t>MDG</t>
  </si>
  <si>
    <t>Madagascar</t>
  </si>
  <si>
    <t>MDV</t>
  </si>
  <si>
    <t>Maldives</t>
  </si>
  <si>
    <t>MEA</t>
  </si>
  <si>
    <t>Middle East, North Africa, Afghanistan &amp; Pakistan regional aggregate (including all income levels). Since July 1, 2025, Afghanistan and Pakistan are classified as part of the Middle East and North Africa region, moving them from South Asia.</t>
  </si>
  <si>
    <t>MEX</t>
  </si>
  <si>
    <t>Mexico</t>
  </si>
  <si>
    <t>MHL</t>
  </si>
  <si>
    <t>Fiscal year ends on September 30; reporting period for national accounts data: FY.</t>
  </si>
  <si>
    <t>Marshall Islands</t>
  </si>
  <si>
    <t>MIC</t>
  </si>
  <si>
    <t>Middle income group aggregate. Middle-income economies are those in which 2024 Atlas GNI per capita was between $1,136 and $13,935.</t>
  </si>
  <si>
    <t>Middle income</t>
  </si>
  <si>
    <t>MKD</t>
  </si>
  <si>
    <t>North Macedonia</t>
  </si>
  <si>
    <t>MLI</t>
  </si>
  <si>
    <t>Mali</t>
  </si>
  <si>
    <t>MLT</t>
  </si>
  <si>
    <t>A simple multiplier is used to convert the national currencies of EMU members to euros. The following irrevocable euro conversion rate entered into force on January 1, 2008: 1 euro = 0.4293 Maltese lira. Please note that historical data are not actual euros and are not comparable or suitable for aggregation across countries. National accounts data source from 1995 to 2015 is Eurostat; prior to 1995 is UN.</t>
  </si>
  <si>
    <t>Malta</t>
  </si>
  <si>
    <t>MMR</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</si>
  <si>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1960-2014. Alternative conversion factors are used in the Atlas methodology and elsewhere in World Development Indicators as single-year conversion factors.</t>
  </si>
  <si>
    <t>Myanmar</t>
  </si>
  <si>
    <t>MNA</t>
  </si>
  <si>
    <t>Middle East, North Africa, Afghanistan &amp; Pakistan regional aggregate (excluding high-income economies). Since July 1, 2025, Afghanistan and Pakistan are classified as part of the Middle East and North Africa region, moving them from South Asia.</t>
  </si>
  <si>
    <t>Middle East, North Africa, Afghanistan &amp; Pakistan (excluding high income)</t>
  </si>
  <si>
    <t>MNE</t>
  </si>
  <si>
    <t>Montenegro declared independence from Serbia and Montenegro on June 3, 2006. Where available, data for each country are shown separately. However, for Serbia, some indicators continue to include data for Montenegro through 2005.</t>
  </si>
  <si>
    <t>Montenegro</t>
  </si>
  <si>
    <t>MNG</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</si>
  <si>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1991-2004. Alternative conversion factors are used in the Atlas methodology and elsewhere in World Development Indicators as single-year conversion factors.</t>
  </si>
  <si>
    <t>Mongolia</t>
  </si>
  <si>
    <t>MNP</t>
  </si>
  <si>
    <t>Northern Mariana Islands</t>
  </si>
  <si>
    <t>MOZ</t>
  </si>
  <si>
    <t>Mozambique</t>
  </si>
  <si>
    <t>MRT</t>
  </si>
  <si>
    <t>National account data were adjusted to reflect the new banknote (1 new ouguiya = 10 old ouguiya)</t>
  </si>
  <si>
    <t>Mauritania</t>
  </si>
  <si>
    <t>MUS</t>
  </si>
  <si>
    <t>Mauritius</t>
  </si>
  <si>
    <t>MWI</t>
  </si>
  <si>
    <t>Malawi</t>
  </si>
  <si>
    <t>MYS</t>
  </si>
  <si>
    <t>Malaysia</t>
  </si>
  <si>
    <t>NAC</t>
  </si>
  <si>
    <t>North America regional aggregate. There are no economies in North America classified as low or middle-income.</t>
  </si>
  <si>
    <t>NAM</t>
  </si>
  <si>
    <t>Namibia</t>
  </si>
  <si>
    <t>NCL</t>
  </si>
  <si>
    <t>New Caledonia</t>
  </si>
  <si>
    <t>NER</t>
  </si>
  <si>
    <t>Niger</t>
  </si>
  <si>
    <t>NGA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</si>
  <si>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1970-2020. Alternative conversion factors are used in the Atlas methodology and elsewhere in World Development Indicators as single-year conversion factors.</t>
  </si>
  <si>
    <t>Nigeria</t>
  </si>
  <si>
    <t>NIC</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</si>
  <si>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1988-2006. Alternative conversion factors are used in the Atlas methodology and elsewhere in World Development Indicators as single-year conversion factors.</t>
  </si>
  <si>
    <t>Nicaragua</t>
  </si>
  <si>
    <t>NLD</t>
  </si>
  <si>
    <t>A simple multiplier is used to convert the national currencies of EMU members to euros. The following irrevocable euro conversion rate was adopted by the EU Council on January 1, 1999: 1 euro = 2.20371 Netherlands guilder. Please note that historical data before 1999 are not actual euros and are not comparable or suitable for aggregation across countries.</t>
  </si>
  <si>
    <t>Netherlands</t>
  </si>
  <si>
    <t>NOR</t>
  </si>
  <si>
    <t>Norway</t>
  </si>
  <si>
    <t>NPL</t>
  </si>
  <si>
    <t>The reporting period for national accounts data is designated as either calendar year basis (CY) or fiscal year basis (FY). For this country, it is fiscal year-based (fiscal year-end: July 14). Also, an estimate (PA.NUS.ATLS) of the exchange rate covers the same period and thus differs from the official exchange rate (CY).</t>
  </si>
  <si>
    <t>Nepal</t>
  </si>
  <si>
    <t>NRU</t>
  </si>
  <si>
    <t>Nauru</t>
  </si>
  <si>
    <t>NZL</t>
  </si>
  <si>
    <t>New Zealand</t>
  </si>
  <si>
    <t>OED</t>
  </si>
  <si>
    <t>OECD members</t>
  </si>
  <si>
    <t>OMN</t>
  </si>
  <si>
    <t>Oman</t>
  </si>
  <si>
    <t>OSS</t>
  </si>
  <si>
    <t>Other small states aggregate.</t>
  </si>
  <si>
    <t>Other small states</t>
  </si>
  <si>
    <t>PAK</t>
  </si>
  <si>
    <t>Pakistan</t>
  </si>
  <si>
    <t>PAN</t>
  </si>
  <si>
    <t>Panama</t>
  </si>
  <si>
    <t>PER</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</si>
  <si>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1988-2009. Alternative conversion factors are used in the Atlas methodology and elsewhere in World Development Indicators as single-year conversion factors.</t>
  </si>
  <si>
    <t>Peru</t>
  </si>
  <si>
    <t>PHL</t>
  </si>
  <si>
    <t>Philippines</t>
  </si>
  <si>
    <t>PLW</t>
  </si>
  <si>
    <t>Palau</t>
  </si>
  <si>
    <t>PNG</t>
  </si>
  <si>
    <t>Papua New Guinea</t>
  </si>
  <si>
    <t>POL</t>
  </si>
  <si>
    <t>Poland</t>
  </si>
  <si>
    <t>PRE</t>
  </si>
  <si>
    <t>Pre-dividend countries are mostly low-income countries, lagging in key human development indicators and with current fertility levels above four births per woman. They face very rapid population growth.</t>
  </si>
  <si>
    <t>Pre-demographic dividend</t>
  </si>
  <si>
    <t>PRI</t>
  </si>
  <si>
    <t>Fiscal year end: June 30; reporting period for national accounts data: FY.</t>
  </si>
  <si>
    <t>Puerto Rico (US)</t>
  </si>
  <si>
    <t>PRK</t>
  </si>
  <si>
    <t>Korea, Dem. People's Rep.</t>
  </si>
  <si>
    <t>PRT</t>
  </si>
  <si>
    <t>A simple multiplier is used to convert the national currencies of EMU members to euros. The following irrevocable euro conversion rate was adopted by the EU Council on January 1, 1999: 1 euro = 200.482 Portuguese escudo. Please note that historical data before 1999 are not actual euros and are not comparable or suitable for aggregation across countries.</t>
  </si>
  <si>
    <t>Portugal</t>
  </si>
  <si>
    <t>PRY</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</si>
  <si>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1982-1988. Alternative conversion factors are used in the Atlas methodology and elsewhere in World Development Indicators as single-year conversion factors. Kindly note that GDP per capita and GNI per capita reported are calculated from the UN WPP data which likely creates discrepancy with the official per capita figures, calculated from the latest population census results.</t>
  </si>
  <si>
    <t>Paraguay</t>
  </si>
  <si>
    <t>PSE</t>
  </si>
  <si>
    <t>West Bank and Gaza</t>
  </si>
  <si>
    <t>PSS</t>
  </si>
  <si>
    <t>Pacific island small states aggregate.</t>
  </si>
  <si>
    <t>Pacific island small states</t>
  </si>
  <si>
    <t>PST</t>
  </si>
  <si>
    <t>Post-dividend countries are mostly high-income countries where fertility has transitioned below replacement levels.</t>
  </si>
  <si>
    <t>Post-demographic dividend</t>
  </si>
  <si>
    <t>PYF</t>
  </si>
  <si>
    <t>French Polynesia</t>
  </si>
  <si>
    <t>QAT</t>
  </si>
  <si>
    <t>Qatar</t>
  </si>
  <si>
    <t>ROU</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</si>
  <si>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1987-1992. Alternative conversion factors are used in the Atlas methodology and elsewhere in World Development Indicators as single-year conversion factors.</t>
  </si>
  <si>
    <t>Romania</t>
  </si>
  <si>
    <t>RUS</t>
  </si>
  <si>
    <t>Russian Federation</t>
  </si>
  <si>
    <t>RWA</t>
  </si>
  <si>
    <t>Rwanda</t>
  </si>
  <si>
    <t>SAS</t>
  </si>
  <si>
    <t>South Asia regional aggregate. Since July 1, 2025, Afghanistan and Pakistan are classified as part of the Middle East and North Africa region, moving them from South Asia. No economies in South Asia are classified as high-income.</t>
  </si>
  <si>
    <t>SAU</t>
  </si>
  <si>
    <t>Saudi Arabia</t>
  </si>
  <si>
    <t>SDN</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</si>
  <si>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2018-2020. Alternative conversion factors are used in the Atlas methodology and elsewhere in World Development Indicators as single-year conversion factors.</t>
  </si>
  <si>
    <t>Sudan</t>
  </si>
  <si>
    <t>SEN</t>
  </si>
  <si>
    <t>Senegal</t>
  </si>
  <si>
    <t>SGP</t>
  </si>
  <si>
    <t>Singapore</t>
  </si>
  <si>
    <t>SLB</t>
  </si>
  <si>
    <t>Solomon Islands</t>
  </si>
  <si>
    <t>SLE</t>
  </si>
  <si>
    <t>Sierra Leone</t>
  </si>
  <si>
    <t>SLV</t>
  </si>
  <si>
    <t>El Salvador</t>
  </si>
  <si>
    <t>SMR</t>
  </si>
  <si>
    <t>San Marino</t>
  </si>
  <si>
    <t>SOM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</si>
  <si>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1977-2017. Alternative conversion factors are used in the Atlas methodology and elsewhere in World Development Indicators as single-year conversion factors.</t>
  </si>
  <si>
    <t>Somalia</t>
  </si>
  <si>
    <t>SRB</t>
  </si>
  <si>
    <t>Montenegro declared independence from Serbia and Montenegro on June 3, 2006. Where available, data for each country are shown separately. However, for Serbia, some indicators, such as those series for which data appear only for Serbia and not Montenegro--e.g., aid, environment, external debt, balance of payments, various social indicators excluding population--continue to include data for Montenegro through 2005. Moreover, data from 1999 onward for Serbia for most indicators exclude data for Kosovo, 1999 being the year when Kosovo became a territory under international administration pursuant to UN Security Council Resolution 1244 (1999); any exceptions are noted. Kosovo became a World Bank member on June 29, 2009; available data are shown separately for Kosovo. In 2011, the Statistical Office of Serbia improved the methodology of national accounts data for 2003 onward. Specifically, the classification of sectors was revised.</t>
  </si>
  <si>
    <t>Serbia</t>
  </si>
  <si>
    <t>SSA</t>
  </si>
  <si>
    <t>Sub-Saharan Africa (excluding high income)</t>
  </si>
  <si>
    <t>SSD</t>
  </si>
  <si>
    <t>South Sudan</t>
  </si>
  <si>
    <t>SSF</t>
  </si>
  <si>
    <t>Sub-Saharan Africa regional aggregate (includes all income levels).</t>
  </si>
  <si>
    <t>SST</t>
  </si>
  <si>
    <t>Small states aggregate.</t>
  </si>
  <si>
    <t>Small states</t>
  </si>
  <si>
    <t>STP</t>
  </si>
  <si>
    <t>National account data were adjusted to reflect the new banknote (1 new Dobra STN = 1000 old Dobra STD)</t>
  </si>
  <si>
    <t>São Tomé and Principe</t>
  </si>
  <si>
    <t>SUR</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</si>
  <si>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1989-2021. Alternative conversion factors are used in the Atlas methodology and elsewhere in World Development Indicators as single-year conversion factors.</t>
  </si>
  <si>
    <t>Suriname</t>
  </si>
  <si>
    <t>SVK</t>
  </si>
  <si>
    <t>A simple multiplier is used to convert the national currencies of EMU members to euros. The following irrevocable euro conversion rate entered into force on January 1, 2009: 1 euro = 30.126 Slovak koruna. Please note that historical data are not actual euros and are not comparable or suitable for aggregation across countries.</t>
  </si>
  <si>
    <t>Slovak Republic</t>
  </si>
  <si>
    <t>SVN</t>
  </si>
  <si>
    <t>A simple multiplier is used to convert the national currencies of EMU members to euros. The following irrevocable euro conversion rate entered into force on January 1, 2007: 1 euro = 239.64 Slovenian tolar. Please note that historical data are not actual euros and are not comparable or suitable for aggregation across countries.</t>
  </si>
  <si>
    <t>Slovenia</t>
  </si>
  <si>
    <t>SWE</t>
  </si>
  <si>
    <t>Sweden</t>
  </si>
  <si>
    <t>SWZ</t>
  </si>
  <si>
    <t>Fiscal year end: March 31; reporting period for national accounts data: CY. Authorities revised national accounts from 1999 to 2015.</t>
  </si>
  <si>
    <t>Eswatini</t>
  </si>
  <si>
    <t>SXM</t>
  </si>
  <si>
    <t>Sint Maarten (Dutch part)</t>
  </si>
  <si>
    <t>SYC</t>
  </si>
  <si>
    <t>Seychelles</t>
  </si>
  <si>
    <t>SYR</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</si>
  <si>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2011-2024. Alternative conversion factors are used in the Atlas methodology and elsewhere in World Development Indicators as single-year conversion factors.</t>
  </si>
  <si>
    <t>Syrian Arab Republic</t>
  </si>
  <si>
    <t>TCA</t>
  </si>
  <si>
    <t>Turks and Caicos Islands</t>
  </si>
  <si>
    <t>TCD</t>
  </si>
  <si>
    <t>Chad</t>
  </si>
  <si>
    <t>TEA</t>
  </si>
  <si>
    <t>East Asia &amp; Pacific (IDA &amp; IBRD countries) aggregate.</t>
  </si>
  <si>
    <t>East Asia &amp; Pacific (IDA &amp; IBRD)</t>
  </si>
  <si>
    <t>TEC</t>
  </si>
  <si>
    <t>Europe &amp; Central Asia (IDA &amp; IBRD countries) aggregate.</t>
  </si>
  <si>
    <t>Europe &amp; Central Asia (IDA &amp; IBRD)</t>
  </si>
  <si>
    <t>TGO</t>
  </si>
  <si>
    <t>Togo</t>
  </si>
  <si>
    <t>THA</t>
  </si>
  <si>
    <t>Fiscal year end: September 30; reporting period for national accounts data: CY.</t>
  </si>
  <si>
    <t>Thailand</t>
  </si>
  <si>
    <t>TJK</t>
  </si>
  <si>
    <t>Tajikistan</t>
  </si>
  <si>
    <t>TKM</t>
  </si>
  <si>
    <t>Turkmenistan</t>
  </si>
  <si>
    <t>TLA</t>
  </si>
  <si>
    <t>Latin America &amp; the Caribbean (IDA &amp; IBRD countries) aggregate.</t>
  </si>
  <si>
    <t>Latin America &amp; Caribbean (IDA &amp; IBRD)</t>
  </si>
  <si>
    <t>TLS</t>
  </si>
  <si>
    <t>Timor-Leste</t>
  </si>
  <si>
    <t>TMN</t>
  </si>
  <si>
    <t>Middle East, North Africa, Afghanistan &amp; Pakistan regional aggregate (IDA &amp; IBRD countries). Since July 1, 2025, Afghanistan and Pakistan are classified as part of the Middle East and North Africa region, moving them from South Asia.</t>
  </si>
  <si>
    <t>Middle East, North Africa, Afghanistan &amp; Pakistan (IDA &amp; IBRD)</t>
  </si>
  <si>
    <t>TON</t>
  </si>
  <si>
    <t>Tonga</t>
  </si>
  <si>
    <t>TSA</t>
  </si>
  <si>
    <t>South Asia (IDA &amp; IBRD countries) aggregate. Since July 1, 2025, Afghanistan and Pakistan are classified as part of the Middle East and North Africa region, moving them from South Asia.</t>
  </si>
  <si>
    <t>South Asia (IDA &amp; IBRD)</t>
  </si>
  <si>
    <t>TSS</t>
  </si>
  <si>
    <t>Sub-Saharan Africa (IDA &amp; IBRD countries) aggregate.</t>
  </si>
  <si>
    <t>Sub-Saharan Africa (IDA &amp; IBRD)</t>
  </si>
  <si>
    <t>TTO</t>
  </si>
  <si>
    <t>Trinidad and Tobago</t>
  </si>
  <si>
    <t>TUN</t>
  </si>
  <si>
    <t>Tunisia</t>
  </si>
  <si>
    <t>TUR</t>
  </si>
  <si>
    <t>Türkiye</t>
  </si>
  <si>
    <t>TUV</t>
  </si>
  <si>
    <t>Tuvalu</t>
  </si>
  <si>
    <t>TZA</t>
  </si>
  <si>
    <t>Tanzania</t>
  </si>
  <si>
    <t>UGA</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</si>
  <si>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1960-2009. Alternative conversion factors are used in the Atlas methodology and elsewhere in World Development Indicators as single-year conversion factors.</t>
  </si>
  <si>
    <t>Uganda</t>
  </si>
  <si>
    <t>UKR</t>
  </si>
  <si>
    <t>Ukraine</t>
  </si>
  <si>
    <t>UMC</t>
  </si>
  <si>
    <t>Upper middle income group aggregate. Upper-middle-income economies are those in which 2024 Atlas GNI per capita was between $4,496 and $13,935.</t>
  </si>
  <si>
    <t>URY</t>
  </si>
  <si>
    <t>Uruguay</t>
  </si>
  <si>
    <t>USA</t>
  </si>
  <si>
    <t>United States</t>
  </si>
  <si>
    <t>UZB</t>
  </si>
  <si>
    <t>Uzbekistan</t>
  </si>
  <si>
    <t>VCT</t>
  </si>
  <si>
    <t>St. Vincent and the Grenadines</t>
  </si>
  <si>
    <t>VEN</t>
  </si>
  <si>
    <t>Venezuela, RB</t>
  </si>
  <si>
    <t>VGB</t>
  </si>
  <si>
    <t>British Virgin Islands</t>
  </si>
  <si>
    <t>VIR</t>
  </si>
  <si>
    <t>Virgin Islands (US)</t>
  </si>
  <si>
    <t>VNM</t>
  </si>
  <si>
    <t>Viet Nam</t>
  </si>
  <si>
    <t>VUT</t>
  </si>
  <si>
    <t>Vanuatu</t>
  </si>
  <si>
    <t>WLD</t>
  </si>
  <si>
    <t>World</t>
  </si>
  <si>
    <t>WSM</t>
  </si>
  <si>
    <t>Samoa</t>
  </si>
  <si>
    <t>XKX</t>
  </si>
  <si>
    <t>Kosovo</t>
  </si>
  <si>
    <t>YEM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</si>
  <si>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1990-2019. Alternative conversion factors are used in the Atlas methodology and elsewhere in World Development Indicators as single-year conversion factors.</t>
  </si>
  <si>
    <t>Yemen, Rep.</t>
  </si>
  <si>
    <t>ZAF</t>
  </si>
  <si>
    <t>South Africa</t>
  </si>
  <si>
    <t>ZMB</t>
  </si>
  <si>
    <t>National accounts data were rebased to reflect the January 1, 2013, introduction of the new Zambian kwacha at a rate of 1,000 old kwacha = 1 new kwacha.</t>
  </si>
  <si>
    <t>Zambia</t>
  </si>
  <si>
    <t>ZWE</t>
  </si>
  <si>
    <t>National Accounts data are reported in Zimbabwean Dollar (ZWL). Before 2017, one ZWL is set to be equal to one USD.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2017-2023. Alternative conversion factors are used in the Atlas methodology and elsewhere in World Development Indicators as single-year conversion factors.</t>
  </si>
  <si>
    <t>Zimbabwe</t>
  </si>
  <si>
    <t>Row Labels</t>
  </si>
  <si>
    <t>Grand Total</t>
  </si>
  <si>
    <t>Column Labels</t>
  </si>
  <si>
    <t>north America regional aggregate. There are no economies in North America classified as low or middle-income.</t>
  </si>
  <si>
    <t>Not specified</t>
  </si>
  <si>
    <t>Countries</t>
  </si>
  <si>
    <t>How many countries are in each income group?</t>
  </si>
  <si>
    <t>What are the income levels in each region?</t>
  </si>
  <si>
    <t>What are the percentage of countries in each income group?</t>
  </si>
  <si>
    <t>Number of Regions</t>
  </si>
  <si>
    <t>Number of Countries</t>
  </si>
  <si>
    <t>Number of Income Groups</t>
  </si>
  <si>
    <t>\</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</si>
</sst>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theme="1" tint="0.249977111117893"/>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0">
    <xf numFmtId="0" fontId="0" fillId="0" borderId="0" xfId="0"/>
    <xf numFmtId="0" fontId="0" fillId="0" borderId="0" xfId="0" applyAlignment="1">
      <alignment wrapText="1"/>
    </xf>
    <xf numFmtId="0" fontId="0" fillId="0" borderId="0" xfId="0" pivotButton="1"/>
    <xf numFmtId="0" fontId="0" fillId="0" borderId="0" xfId="0" applyAlignment="1">
      <alignment horizontal="left"/>
    </xf>
    <xf numFmtId="0" fontId="0" fillId="0" borderId="0" xfId="0" applyNumberFormat="1"/>
    <xf numFmtId="0" fontId="0" fillId="0" borderId="0" xfId="0" applyFill="1"/>
    <xf numFmtId="0" fontId="0" fillId="0" borderId="0" xfId="0" applyAlignment="1"/>
    <xf numFmtId="0" fontId="0" fillId="0" borderId="0" xfId="0"/>
    <xf numFmtId="0" fontId="18" fillId="0" borderId="0" xfId="0" applyFont="1" applyFill="1" applyAlignment="1"/>
    <xf numFmtId="0" fontId="18"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microsoft.com/office/2007/relationships/slicerCache" Target="slicerCaches/slicerCache2.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1.xml"/><Relationship Id="rId5" Type="http://schemas.openxmlformats.org/officeDocument/2006/relationships/pivotCacheDefinition" Target="pivotCache/pivotCacheDefinition2.xml"/><Relationship Id="rId15" Type="http://schemas.openxmlformats.org/officeDocument/2006/relationships/styles" Target="styles.xml"/><Relationship Id="rId10" Type="http://schemas.openxmlformats.org/officeDocument/2006/relationships/pivotCacheDefinition" Target="pivotCache/pivotCacheDefinition7.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[Income group task 1 COMPLETE.xlsx]Pivot Table!PivotTable13</c:name>
    <c:fmtId val="0"/>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 Table'!$P$58</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Table'!$O$59:$O$64</c:f>
              <c:strCache>
                <c:ptCount val="5"/>
                <c:pt idx="0">
                  <c:v>High income</c:v>
                </c:pt>
                <c:pt idx="1">
                  <c:v>Low income</c:v>
                </c:pt>
                <c:pt idx="2">
                  <c:v>Lower middle income</c:v>
                </c:pt>
                <c:pt idx="3">
                  <c:v>Not specified</c:v>
                </c:pt>
                <c:pt idx="4">
                  <c:v>Upper middle income</c:v>
                </c:pt>
              </c:strCache>
            </c:strRef>
          </c:cat>
          <c:val>
            <c:numRef>
              <c:f>'Pivot Table'!$P$59:$P$64</c:f>
              <c:numCache>
                <c:formatCode>General</c:formatCode>
                <c:ptCount val="5"/>
                <c:pt idx="0">
                  <c:v>86</c:v>
                </c:pt>
                <c:pt idx="1">
                  <c:v>25</c:v>
                </c:pt>
                <c:pt idx="2">
                  <c:v>50</c:v>
                </c:pt>
                <c:pt idx="3">
                  <c:v>50</c:v>
                </c:pt>
                <c:pt idx="4">
                  <c:v>54</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[Income group task 1 COMPLETE.xlsx]Pivot Table!PivotTable11</c:name>
    <c:fmtId val="8"/>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s>
    <c:plotArea>
      <c:layout/>
      <c:barChart>
        <c:barDir val="bar"/>
        <c:grouping val="stacked"/>
        <c:varyColors val="0"/>
        <c:ser>
          <c:idx val="0"/>
          <c:order val="0"/>
          <c:tx>
            <c:strRef>
              <c:f>'Pivot Table'!$P$31:$P$32</c:f>
              <c:strCache>
                <c:ptCount val="1"/>
                <c:pt idx="0">
                  <c:v>High income</c:v>
                </c:pt>
              </c:strCache>
            </c:strRef>
          </c:tx>
          <c:spPr>
            <a:solidFill>
              <a:schemeClr val="accent1"/>
            </a:solidFill>
            <a:ln>
              <a:noFill/>
            </a:ln>
            <a:effectLst/>
          </c:spPr>
          <c:invertIfNegative val="0"/>
          <c:cat>
            <c:strRef>
              <c:f>'Pivot Table'!$O$33:$O$41</c:f>
              <c:strCache>
                <c:ptCount val="8"/>
                <c:pt idx="0">
                  <c:v>Europe &amp; Central Asia</c:v>
                </c:pt>
                <c:pt idx="1">
                  <c:v>Sub-Saharan Africa</c:v>
                </c:pt>
                <c:pt idx="2">
                  <c:v>Not specified</c:v>
                </c:pt>
                <c:pt idx="3">
                  <c:v>Latin America &amp; Caribbean</c:v>
                </c:pt>
                <c:pt idx="4">
                  <c:v>East Asia &amp; Pacific</c:v>
                </c:pt>
                <c:pt idx="5">
                  <c:v>Middle East, North Africa, Afghanistan &amp; Pakistan</c:v>
                </c:pt>
                <c:pt idx="6">
                  <c:v>South Asia</c:v>
                </c:pt>
                <c:pt idx="7">
                  <c:v>North America</c:v>
                </c:pt>
              </c:strCache>
            </c:strRef>
          </c:cat>
          <c:val>
            <c:numRef>
              <c:f>'Pivot Table'!$P$33:$P$41</c:f>
              <c:numCache>
                <c:formatCode>General</c:formatCode>
                <c:ptCount val="8"/>
                <c:pt idx="0">
                  <c:v>40</c:v>
                </c:pt>
                <c:pt idx="1">
                  <c:v>1</c:v>
                </c:pt>
                <c:pt idx="3">
                  <c:v>19</c:v>
                </c:pt>
                <c:pt idx="4">
                  <c:v>15</c:v>
                </c:pt>
                <c:pt idx="5">
                  <c:v>8</c:v>
                </c:pt>
                <c:pt idx="7">
                  <c:v>3</c:v>
                </c:pt>
              </c:numCache>
            </c:numRef>
          </c:val>
        </c:ser>
        <c:ser>
          <c:idx val="1"/>
          <c:order val="1"/>
          <c:tx>
            <c:strRef>
              <c:f>'Pivot Table'!$Q$31:$Q$32</c:f>
              <c:strCache>
                <c:ptCount val="1"/>
                <c:pt idx="0">
                  <c:v>Upper middle income</c:v>
                </c:pt>
              </c:strCache>
            </c:strRef>
          </c:tx>
          <c:spPr>
            <a:solidFill>
              <a:schemeClr val="accent2"/>
            </a:solidFill>
            <a:ln>
              <a:noFill/>
            </a:ln>
            <a:effectLst/>
          </c:spPr>
          <c:invertIfNegative val="0"/>
          <c:cat>
            <c:strRef>
              <c:f>'Pivot Table'!$O$33:$O$41</c:f>
              <c:strCache>
                <c:ptCount val="8"/>
                <c:pt idx="0">
                  <c:v>Europe &amp; Central Asia</c:v>
                </c:pt>
                <c:pt idx="1">
                  <c:v>Sub-Saharan Africa</c:v>
                </c:pt>
                <c:pt idx="2">
                  <c:v>Not specified</c:v>
                </c:pt>
                <c:pt idx="3">
                  <c:v>Latin America &amp; Caribbean</c:v>
                </c:pt>
                <c:pt idx="4">
                  <c:v>East Asia &amp; Pacific</c:v>
                </c:pt>
                <c:pt idx="5">
                  <c:v>Middle East, North Africa, Afghanistan &amp; Pakistan</c:v>
                </c:pt>
                <c:pt idx="6">
                  <c:v>South Asia</c:v>
                </c:pt>
                <c:pt idx="7">
                  <c:v>North America</c:v>
                </c:pt>
              </c:strCache>
            </c:strRef>
          </c:cat>
          <c:val>
            <c:numRef>
              <c:f>'Pivot Table'!$Q$33:$Q$41</c:f>
              <c:numCache>
                <c:formatCode>General</c:formatCode>
                <c:ptCount val="8"/>
                <c:pt idx="0">
                  <c:v>15</c:v>
                </c:pt>
                <c:pt idx="1">
                  <c:v>6</c:v>
                </c:pt>
                <c:pt idx="3">
                  <c:v>18</c:v>
                </c:pt>
                <c:pt idx="4">
                  <c:v>10</c:v>
                </c:pt>
                <c:pt idx="5">
                  <c:v>4</c:v>
                </c:pt>
                <c:pt idx="6">
                  <c:v>1</c:v>
                </c:pt>
              </c:numCache>
            </c:numRef>
          </c:val>
        </c:ser>
        <c:ser>
          <c:idx val="2"/>
          <c:order val="2"/>
          <c:tx>
            <c:strRef>
              <c:f>'Pivot Table'!$R$31:$R$32</c:f>
              <c:strCache>
                <c:ptCount val="1"/>
                <c:pt idx="0">
                  <c:v>Lower middle income</c:v>
                </c:pt>
              </c:strCache>
            </c:strRef>
          </c:tx>
          <c:spPr>
            <a:solidFill>
              <a:schemeClr val="accent3"/>
            </a:solidFill>
            <a:ln>
              <a:noFill/>
            </a:ln>
            <a:effectLst/>
          </c:spPr>
          <c:invertIfNegative val="0"/>
          <c:cat>
            <c:strRef>
              <c:f>'Pivot Table'!$O$33:$O$41</c:f>
              <c:strCache>
                <c:ptCount val="8"/>
                <c:pt idx="0">
                  <c:v>Europe &amp; Central Asia</c:v>
                </c:pt>
                <c:pt idx="1">
                  <c:v>Sub-Saharan Africa</c:v>
                </c:pt>
                <c:pt idx="2">
                  <c:v>Not specified</c:v>
                </c:pt>
                <c:pt idx="3">
                  <c:v>Latin America &amp; Caribbean</c:v>
                </c:pt>
                <c:pt idx="4">
                  <c:v>East Asia &amp; Pacific</c:v>
                </c:pt>
                <c:pt idx="5">
                  <c:v>Middle East, North Africa, Afghanistan &amp; Pakistan</c:v>
                </c:pt>
                <c:pt idx="6">
                  <c:v>South Asia</c:v>
                </c:pt>
                <c:pt idx="7">
                  <c:v>North America</c:v>
                </c:pt>
              </c:strCache>
            </c:strRef>
          </c:cat>
          <c:val>
            <c:numRef>
              <c:f>'Pivot Table'!$R$33:$R$41</c:f>
              <c:numCache>
                <c:formatCode>General</c:formatCode>
                <c:ptCount val="8"/>
                <c:pt idx="0">
                  <c:v>3</c:v>
                </c:pt>
                <c:pt idx="1">
                  <c:v>19</c:v>
                </c:pt>
                <c:pt idx="3">
                  <c:v>4</c:v>
                </c:pt>
                <c:pt idx="4">
                  <c:v>11</c:v>
                </c:pt>
                <c:pt idx="5">
                  <c:v>8</c:v>
                </c:pt>
                <c:pt idx="6">
                  <c:v>5</c:v>
                </c:pt>
              </c:numCache>
            </c:numRef>
          </c:val>
        </c:ser>
        <c:ser>
          <c:idx val="3"/>
          <c:order val="3"/>
          <c:tx>
            <c:strRef>
              <c:f>'Pivot Table'!$S$31:$S$32</c:f>
              <c:strCache>
                <c:ptCount val="1"/>
                <c:pt idx="0">
                  <c:v>Low income</c:v>
                </c:pt>
              </c:strCache>
            </c:strRef>
          </c:tx>
          <c:spPr>
            <a:solidFill>
              <a:schemeClr val="accent4"/>
            </a:solidFill>
            <a:ln>
              <a:noFill/>
            </a:ln>
            <a:effectLst/>
          </c:spPr>
          <c:invertIfNegative val="0"/>
          <c:cat>
            <c:strRef>
              <c:f>'Pivot Table'!$O$33:$O$41</c:f>
              <c:strCache>
                <c:ptCount val="8"/>
                <c:pt idx="0">
                  <c:v>Europe &amp; Central Asia</c:v>
                </c:pt>
                <c:pt idx="1">
                  <c:v>Sub-Saharan Africa</c:v>
                </c:pt>
                <c:pt idx="2">
                  <c:v>Not specified</c:v>
                </c:pt>
                <c:pt idx="3">
                  <c:v>Latin America &amp; Caribbean</c:v>
                </c:pt>
                <c:pt idx="4">
                  <c:v>East Asia &amp; Pacific</c:v>
                </c:pt>
                <c:pt idx="5">
                  <c:v>Middle East, North Africa, Afghanistan &amp; Pakistan</c:v>
                </c:pt>
                <c:pt idx="6">
                  <c:v>South Asia</c:v>
                </c:pt>
                <c:pt idx="7">
                  <c:v>North America</c:v>
                </c:pt>
              </c:strCache>
            </c:strRef>
          </c:cat>
          <c:val>
            <c:numRef>
              <c:f>'Pivot Table'!$S$33:$S$41</c:f>
              <c:numCache>
                <c:formatCode>General</c:formatCode>
                <c:ptCount val="8"/>
                <c:pt idx="1">
                  <c:v>21</c:v>
                </c:pt>
                <c:pt idx="4">
                  <c:v>1</c:v>
                </c:pt>
                <c:pt idx="5">
                  <c:v>3</c:v>
                </c:pt>
              </c:numCache>
            </c:numRef>
          </c:val>
        </c:ser>
        <c:ser>
          <c:idx val="4"/>
          <c:order val="4"/>
          <c:tx>
            <c:strRef>
              <c:f>'Pivot Table'!$T$31:$T$32</c:f>
              <c:strCache>
                <c:ptCount val="1"/>
                <c:pt idx="0">
                  <c:v>Not specified</c:v>
                </c:pt>
              </c:strCache>
            </c:strRef>
          </c:tx>
          <c:spPr>
            <a:solidFill>
              <a:schemeClr val="accent5"/>
            </a:solidFill>
            <a:ln>
              <a:noFill/>
            </a:ln>
            <a:effectLst/>
          </c:spPr>
          <c:invertIfNegative val="0"/>
          <c:cat>
            <c:strRef>
              <c:f>'Pivot Table'!$O$33:$O$41</c:f>
              <c:strCache>
                <c:ptCount val="8"/>
                <c:pt idx="0">
                  <c:v>Europe &amp; Central Asia</c:v>
                </c:pt>
                <c:pt idx="1">
                  <c:v>Sub-Saharan Africa</c:v>
                </c:pt>
                <c:pt idx="2">
                  <c:v>Not specified</c:v>
                </c:pt>
                <c:pt idx="3">
                  <c:v>Latin America &amp; Caribbean</c:v>
                </c:pt>
                <c:pt idx="4">
                  <c:v>East Asia &amp; Pacific</c:v>
                </c:pt>
                <c:pt idx="5">
                  <c:v>Middle East, North Africa, Afghanistan &amp; Pakistan</c:v>
                </c:pt>
                <c:pt idx="6">
                  <c:v>South Asia</c:v>
                </c:pt>
                <c:pt idx="7">
                  <c:v>North America</c:v>
                </c:pt>
              </c:strCache>
            </c:strRef>
          </c:cat>
          <c:val>
            <c:numRef>
              <c:f>'Pivot Table'!$T$33:$T$41</c:f>
              <c:numCache>
                <c:formatCode>General</c:formatCode>
                <c:ptCount val="8"/>
                <c:pt idx="1">
                  <c:v>1</c:v>
                </c:pt>
                <c:pt idx="2">
                  <c:v>48</c:v>
                </c:pt>
                <c:pt idx="3">
                  <c:v>1</c:v>
                </c:pt>
              </c:numCache>
            </c:numRef>
          </c:val>
        </c:ser>
        <c:dLbls>
          <c:showLegendKey val="0"/>
          <c:showVal val="0"/>
          <c:showCatName val="0"/>
          <c:showSerName val="0"/>
          <c:showPercent val="0"/>
          <c:showBubbleSize val="0"/>
        </c:dLbls>
        <c:gapWidth val="150"/>
        <c:overlap val="100"/>
        <c:axId val="331120496"/>
        <c:axId val="334353408"/>
      </c:barChart>
      <c:catAx>
        <c:axId val="3311204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353408"/>
        <c:crosses val="autoZero"/>
        <c:auto val="1"/>
        <c:lblAlgn val="ctr"/>
        <c:lblOffset val="100"/>
        <c:noMultiLvlLbl val="0"/>
      </c:catAx>
      <c:valAx>
        <c:axId val="3343534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1120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[Income group task 1 COMPLETE.xlsx]Pivot Table!PivotTable13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'Pivot Table'!$P$58</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'Pivot Table'!$O$59:$O$64</c:f>
              <c:strCache>
                <c:ptCount val="5"/>
                <c:pt idx="0">
                  <c:v>High income</c:v>
                </c:pt>
                <c:pt idx="1">
                  <c:v>Low income</c:v>
                </c:pt>
                <c:pt idx="2">
                  <c:v>Lower middle income</c:v>
                </c:pt>
                <c:pt idx="3">
                  <c:v>Not specified</c:v>
                </c:pt>
                <c:pt idx="4">
                  <c:v>Upper middle income</c:v>
                </c:pt>
              </c:strCache>
            </c:strRef>
          </c:cat>
          <c:val>
            <c:numRef>
              <c:f>'Pivot Table'!$P$59:$P$64</c:f>
              <c:numCache>
                <c:formatCode>General</c:formatCode>
                <c:ptCount val="5"/>
                <c:pt idx="0">
                  <c:v>86</c:v>
                </c:pt>
                <c:pt idx="1">
                  <c:v>25</c:v>
                </c:pt>
                <c:pt idx="2">
                  <c:v>50</c:v>
                </c:pt>
                <c:pt idx="3">
                  <c:v>50</c:v>
                </c:pt>
                <c:pt idx="4">
                  <c:v>54</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[Income group task 1 COMPLETE.xlsx]Pivot Table!PivotTable10</c:name>
    <c:fmtId val="15"/>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s>
    <c:plotArea>
      <c:layout/>
      <c:barChart>
        <c:barDir val="col"/>
        <c:grouping val="clustered"/>
        <c:varyColors val="0"/>
        <c:ser>
          <c:idx val="0"/>
          <c:order val="0"/>
          <c:tx>
            <c:strRef>
              <c:f>'Pivot Table'!$P$17:$P$18</c:f>
              <c:strCache>
                <c:ptCount val="1"/>
                <c:pt idx="0">
                  <c:v>High income</c:v>
                </c:pt>
              </c:strCache>
            </c:strRef>
          </c:tx>
          <c:spPr>
            <a:solidFill>
              <a:schemeClr val="accent1"/>
            </a:solidFill>
            <a:ln>
              <a:noFill/>
            </a:ln>
            <a:effectLst/>
          </c:spPr>
          <c:invertIfNegative val="0"/>
          <c:cat>
            <c:strRef>
              <c:f>'Pivot Table'!$O$19</c:f>
              <c:strCache>
                <c:ptCount val="1"/>
                <c:pt idx="0">
                  <c:v>Total</c:v>
                </c:pt>
              </c:strCache>
            </c:strRef>
          </c:cat>
          <c:val>
            <c:numRef>
              <c:f>'Pivot Table'!$P$19</c:f>
              <c:numCache>
                <c:formatCode>General</c:formatCode>
                <c:ptCount val="1"/>
                <c:pt idx="0">
                  <c:v>86</c:v>
                </c:pt>
              </c:numCache>
            </c:numRef>
          </c:val>
        </c:ser>
        <c:ser>
          <c:idx val="1"/>
          <c:order val="1"/>
          <c:tx>
            <c:strRef>
              <c:f>'Pivot Table'!$Q$17:$Q$18</c:f>
              <c:strCache>
                <c:ptCount val="1"/>
                <c:pt idx="0">
                  <c:v>Upper middle income</c:v>
                </c:pt>
              </c:strCache>
            </c:strRef>
          </c:tx>
          <c:spPr>
            <a:solidFill>
              <a:schemeClr val="accent2"/>
            </a:solidFill>
            <a:ln>
              <a:noFill/>
            </a:ln>
            <a:effectLst/>
          </c:spPr>
          <c:invertIfNegative val="0"/>
          <c:cat>
            <c:strRef>
              <c:f>'Pivot Table'!$O$19</c:f>
              <c:strCache>
                <c:ptCount val="1"/>
                <c:pt idx="0">
                  <c:v>Total</c:v>
                </c:pt>
              </c:strCache>
            </c:strRef>
          </c:cat>
          <c:val>
            <c:numRef>
              <c:f>'Pivot Table'!$Q$19</c:f>
              <c:numCache>
                <c:formatCode>General</c:formatCode>
                <c:ptCount val="1"/>
                <c:pt idx="0">
                  <c:v>54</c:v>
                </c:pt>
              </c:numCache>
            </c:numRef>
          </c:val>
        </c:ser>
        <c:ser>
          <c:idx val="2"/>
          <c:order val="2"/>
          <c:tx>
            <c:strRef>
              <c:f>'Pivot Table'!$R$17:$R$18</c:f>
              <c:strCache>
                <c:ptCount val="1"/>
                <c:pt idx="0">
                  <c:v>Lower middle income</c:v>
                </c:pt>
              </c:strCache>
            </c:strRef>
          </c:tx>
          <c:spPr>
            <a:solidFill>
              <a:schemeClr val="accent3"/>
            </a:solidFill>
            <a:ln>
              <a:noFill/>
            </a:ln>
            <a:effectLst/>
          </c:spPr>
          <c:invertIfNegative val="0"/>
          <c:cat>
            <c:strRef>
              <c:f>'Pivot Table'!$O$19</c:f>
              <c:strCache>
                <c:ptCount val="1"/>
                <c:pt idx="0">
                  <c:v>Total</c:v>
                </c:pt>
              </c:strCache>
            </c:strRef>
          </c:cat>
          <c:val>
            <c:numRef>
              <c:f>'Pivot Table'!$R$19</c:f>
              <c:numCache>
                <c:formatCode>General</c:formatCode>
                <c:ptCount val="1"/>
                <c:pt idx="0">
                  <c:v>50</c:v>
                </c:pt>
              </c:numCache>
            </c:numRef>
          </c:val>
        </c:ser>
        <c:ser>
          <c:idx val="3"/>
          <c:order val="3"/>
          <c:tx>
            <c:strRef>
              <c:f>'Pivot Table'!$S$17:$S$18</c:f>
              <c:strCache>
                <c:ptCount val="1"/>
                <c:pt idx="0">
                  <c:v>Low income</c:v>
                </c:pt>
              </c:strCache>
            </c:strRef>
          </c:tx>
          <c:spPr>
            <a:solidFill>
              <a:schemeClr val="accent4"/>
            </a:solidFill>
            <a:ln>
              <a:noFill/>
            </a:ln>
            <a:effectLst/>
          </c:spPr>
          <c:invertIfNegative val="0"/>
          <c:cat>
            <c:strRef>
              <c:f>'Pivot Table'!$O$19</c:f>
              <c:strCache>
                <c:ptCount val="1"/>
                <c:pt idx="0">
                  <c:v>Total</c:v>
                </c:pt>
              </c:strCache>
            </c:strRef>
          </c:cat>
          <c:val>
            <c:numRef>
              <c:f>'Pivot Table'!$S$19</c:f>
              <c:numCache>
                <c:formatCode>General</c:formatCode>
                <c:ptCount val="1"/>
                <c:pt idx="0">
                  <c:v>25</c:v>
                </c:pt>
              </c:numCache>
            </c:numRef>
          </c:val>
        </c:ser>
        <c:ser>
          <c:idx val="4"/>
          <c:order val="4"/>
          <c:tx>
            <c:strRef>
              <c:f>'Pivot Table'!$T$17:$T$18</c:f>
              <c:strCache>
                <c:ptCount val="1"/>
                <c:pt idx="0">
                  <c:v>Not specified</c:v>
                </c:pt>
              </c:strCache>
            </c:strRef>
          </c:tx>
          <c:spPr>
            <a:solidFill>
              <a:schemeClr val="accent5"/>
            </a:solidFill>
            <a:ln>
              <a:noFill/>
            </a:ln>
            <a:effectLst/>
          </c:spPr>
          <c:invertIfNegative val="0"/>
          <c:cat>
            <c:strRef>
              <c:f>'Pivot Table'!$O$19</c:f>
              <c:strCache>
                <c:ptCount val="1"/>
                <c:pt idx="0">
                  <c:v>Total</c:v>
                </c:pt>
              </c:strCache>
            </c:strRef>
          </c:cat>
          <c:val>
            <c:numRef>
              <c:f>'Pivot Table'!$T$19</c:f>
              <c:numCache>
                <c:formatCode>General</c:formatCode>
                <c:ptCount val="1"/>
                <c:pt idx="0">
                  <c:v>50</c:v>
                </c:pt>
              </c:numCache>
            </c:numRef>
          </c:val>
        </c:ser>
        <c:dLbls>
          <c:showLegendKey val="0"/>
          <c:showVal val="0"/>
          <c:showCatName val="0"/>
          <c:showSerName val="0"/>
          <c:showPercent val="0"/>
          <c:showBubbleSize val="0"/>
        </c:dLbls>
        <c:gapWidth val="219"/>
        <c:overlap val="-27"/>
        <c:axId val="331828552"/>
        <c:axId val="331824632"/>
      </c:barChart>
      <c:catAx>
        <c:axId val="331828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1824632"/>
        <c:crosses val="autoZero"/>
        <c:auto val="1"/>
        <c:lblAlgn val="ctr"/>
        <c:lblOffset val="100"/>
        <c:noMultiLvlLbl val="0"/>
      </c:catAx>
      <c:valAx>
        <c:axId val="331824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1828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[Income group task 1 COMPLETE.xlsx]Pivot Table!PivotTable1</c:name>
    <c:fmtId val="11"/>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s>
    <c:plotArea>
      <c:layout/>
      <c:barChart>
        <c:barDir val="bar"/>
        <c:grouping val="stacked"/>
        <c:varyColors val="0"/>
        <c:ser>
          <c:idx val="0"/>
          <c:order val="0"/>
          <c:tx>
            <c:strRef>
              <c:f>'Pivot Table'!$S$44</c:f>
              <c:strCache>
                <c:ptCount val="1"/>
                <c:pt idx="0">
                  <c:v>Total</c:v>
                </c:pt>
              </c:strCache>
            </c:strRef>
          </c:tx>
          <c:spPr>
            <a:solidFill>
              <a:schemeClr val="accent1"/>
            </a:solidFill>
            <a:ln>
              <a:noFill/>
            </a:ln>
            <a:effectLst/>
          </c:spPr>
          <c:invertIfNegative val="0"/>
          <c:cat>
            <c:strRef>
              <c:f>'Pivot Table'!$R$45:$R$50</c:f>
              <c:strCache>
                <c:ptCount val="5"/>
                <c:pt idx="0">
                  <c:v>High income</c:v>
                </c:pt>
                <c:pt idx="1">
                  <c:v>Upper middle income</c:v>
                </c:pt>
                <c:pt idx="2">
                  <c:v>Lower middle income</c:v>
                </c:pt>
                <c:pt idx="3">
                  <c:v>Low income</c:v>
                </c:pt>
                <c:pt idx="4">
                  <c:v>Not specified</c:v>
                </c:pt>
              </c:strCache>
            </c:strRef>
          </c:cat>
          <c:val>
            <c:numRef>
              <c:f>'Pivot Table'!$S$45:$S$50</c:f>
              <c:numCache>
                <c:formatCode>General</c:formatCode>
                <c:ptCount val="5"/>
                <c:pt idx="0">
                  <c:v>86</c:v>
                </c:pt>
                <c:pt idx="1">
                  <c:v>54</c:v>
                </c:pt>
                <c:pt idx="2">
                  <c:v>50</c:v>
                </c:pt>
                <c:pt idx="3">
                  <c:v>25</c:v>
                </c:pt>
                <c:pt idx="4">
                  <c:v>50</c:v>
                </c:pt>
              </c:numCache>
            </c:numRef>
          </c:val>
        </c:ser>
        <c:dLbls>
          <c:showLegendKey val="0"/>
          <c:showVal val="0"/>
          <c:showCatName val="0"/>
          <c:showSerName val="0"/>
          <c:showPercent val="0"/>
          <c:showBubbleSize val="0"/>
        </c:dLbls>
        <c:gapWidth val="150"/>
        <c:overlap val="100"/>
        <c:axId val="331828160"/>
        <c:axId val="331825416"/>
      </c:barChart>
      <c:catAx>
        <c:axId val="3318281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1825416"/>
        <c:crosses val="autoZero"/>
        <c:auto val="1"/>
        <c:lblAlgn val="ctr"/>
        <c:lblOffset val="100"/>
        <c:noMultiLvlLbl val="0"/>
      </c:catAx>
      <c:valAx>
        <c:axId val="3318254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1828160"/>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[Income group task 1 COMPLETE.xlsx]Pivot Table!PivotTable13</c:name>
    <c:fmtId val="6"/>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doughnutChart>
        <c:varyColors val="1"/>
        <c:ser>
          <c:idx val="0"/>
          <c:order val="0"/>
          <c:tx>
            <c:strRef>
              <c:f>'Pivot Table'!$P$58</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Table'!$O$59:$O$64</c:f>
              <c:strCache>
                <c:ptCount val="5"/>
                <c:pt idx="0">
                  <c:v>High income</c:v>
                </c:pt>
                <c:pt idx="1">
                  <c:v>Low income</c:v>
                </c:pt>
                <c:pt idx="2">
                  <c:v>Lower middle income</c:v>
                </c:pt>
                <c:pt idx="3">
                  <c:v>Not specified</c:v>
                </c:pt>
                <c:pt idx="4">
                  <c:v>Upper middle income</c:v>
                </c:pt>
              </c:strCache>
            </c:strRef>
          </c:cat>
          <c:val>
            <c:numRef>
              <c:f>'Pivot Table'!$P$59:$P$64</c:f>
              <c:numCache>
                <c:formatCode>General</c:formatCode>
                <c:ptCount val="5"/>
                <c:pt idx="0">
                  <c:v>86</c:v>
                </c:pt>
                <c:pt idx="1">
                  <c:v>25</c:v>
                </c:pt>
                <c:pt idx="2">
                  <c:v>50</c:v>
                </c:pt>
                <c:pt idx="3">
                  <c:v>50</c:v>
                </c:pt>
                <c:pt idx="4">
                  <c:v>54</c:v>
                </c:pt>
              </c:numCache>
            </c:numRef>
          </c:val>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[Income group task 1 COMPLETE.xlsx]Pivot Table!PivotTable1</c:name>
    <c:fmtId val="18"/>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s>
    <c:plotArea>
      <c:layout/>
      <c:barChart>
        <c:barDir val="col"/>
        <c:grouping val="clustered"/>
        <c:varyColors val="0"/>
        <c:ser>
          <c:idx val="0"/>
          <c:order val="0"/>
          <c:tx>
            <c:strRef>
              <c:f>'Pivot Table'!$S$44</c:f>
              <c:strCache>
                <c:ptCount val="1"/>
                <c:pt idx="0">
                  <c:v>Total</c:v>
                </c:pt>
              </c:strCache>
            </c:strRef>
          </c:tx>
          <c:spPr>
            <a:solidFill>
              <a:schemeClr val="accent1"/>
            </a:solidFill>
            <a:ln>
              <a:noFill/>
            </a:ln>
            <a:effectLst/>
          </c:spPr>
          <c:invertIfNegative val="0"/>
          <c:cat>
            <c:strRef>
              <c:f>'Pivot Table'!$R$45:$R$50</c:f>
              <c:strCache>
                <c:ptCount val="5"/>
                <c:pt idx="0">
                  <c:v>High income</c:v>
                </c:pt>
                <c:pt idx="1">
                  <c:v>Upper middle income</c:v>
                </c:pt>
                <c:pt idx="2">
                  <c:v>Lower middle income</c:v>
                </c:pt>
                <c:pt idx="3">
                  <c:v>Low income</c:v>
                </c:pt>
                <c:pt idx="4">
                  <c:v>Not specified</c:v>
                </c:pt>
              </c:strCache>
            </c:strRef>
          </c:cat>
          <c:val>
            <c:numRef>
              <c:f>'Pivot Table'!$S$45:$S$50</c:f>
              <c:numCache>
                <c:formatCode>General</c:formatCode>
                <c:ptCount val="5"/>
                <c:pt idx="0">
                  <c:v>86</c:v>
                </c:pt>
                <c:pt idx="1">
                  <c:v>54</c:v>
                </c:pt>
                <c:pt idx="2">
                  <c:v>50</c:v>
                </c:pt>
                <c:pt idx="3">
                  <c:v>25</c:v>
                </c:pt>
                <c:pt idx="4">
                  <c:v>50</c:v>
                </c:pt>
              </c:numCache>
            </c:numRef>
          </c:val>
        </c:ser>
        <c:dLbls>
          <c:showLegendKey val="0"/>
          <c:showVal val="0"/>
          <c:showCatName val="0"/>
          <c:showSerName val="0"/>
          <c:showPercent val="0"/>
          <c:showBubbleSize val="0"/>
        </c:dLbls>
        <c:gapWidth val="219"/>
        <c:overlap val="-27"/>
        <c:axId val="331829728"/>
        <c:axId val="331826592"/>
      </c:barChart>
      <c:catAx>
        <c:axId val="331829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1826592"/>
        <c:crosses val="autoZero"/>
        <c:auto val="1"/>
        <c:lblAlgn val="ctr"/>
        <c:lblOffset val="100"/>
        <c:noMultiLvlLbl val="0"/>
      </c:catAx>
      <c:valAx>
        <c:axId val="331826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182972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image" Target="../media/image1.png"/><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19</xdr:col>
      <xdr:colOff>1020536</xdr:colOff>
      <xdr:row>2</xdr:row>
      <xdr:rowOff>28575</xdr:rowOff>
    </xdr:from>
    <xdr:to>
      <xdr:col>21</xdr:col>
      <xdr:colOff>713015</xdr:colOff>
      <xdr:row>15</xdr:row>
      <xdr:rowOff>76200</xdr:rowOff>
    </xdr:to>
    <mc:AlternateContent xmlns:mc="http://schemas.openxmlformats.org/markup-compatibility/2006" xmlns:a14="http://schemas.microsoft.com/office/drawing/2010/main">
      <mc:Choice Requires="a14">
        <xdr:graphicFrame macro="">
          <xdr:nvGraphicFramePr>
            <xdr:cNvPr id="8" name="IncomeGroup 2"/>
            <xdr:cNvGraphicFramePr/>
          </xdr:nvGraphicFramePr>
          <xdr:xfrm>
            <a:off x="0" y="0"/>
            <a:ext cx="0" cy="0"/>
          </xdr:xfrm>
          <a:graphic>
            <a:graphicData uri="http://schemas.microsoft.com/office/drawing/2010/slicer">
              <sle:slicer xmlns:sle="http://schemas.microsoft.com/office/drawing/2010/slicer" name="IncomeGroup 2"/>
            </a:graphicData>
          </a:graphic>
        </xdr:graphicFrame>
      </mc:Choice>
      <mc:Fallback xmlns="">
        <xdr:sp macro="" textlink="">
          <xdr:nvSpPr>
            <xdr:cNvPr id="0" name=""/>
            <xdr:cNvSpPr>
              <a:spLocks noTextEdit="1"/>
            </xdr:cNvSpPr>
          </xdr:nvSpPr>
          <xdr:spPr>
            <a:xfrm>
              <a:off x="23390679" y="4095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1564822</xdr:colOff>
      <xdr:row>1</xdr:row>
      <xdr:rowOff>151040</xdr:rowOff>
    </xdr:from>
    <xdr:to>
      <xdr:col>22</xdr:col>
      <xdr:colOff>1298122</xdr:colOff>
      <xdr:row>15</xdr:row>
      <xdr:rowOff>8165</xdr:rowOff>
    </xdr:to>
    <mc:AlternateContent xmlns:mc="http://schemas.openxmlformats.org/markup-compatibility/2006" xmlns:a14="http://schemas.microsoft.com/office/drawing/2010/main">
      <mc:Choice Requires="a14">
        <xdr:graphicFrame macro="">
          <xdr:nvGraphicFramePr>
            <xdr:cNvPr id="9" name="Region 2"/>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26071286" y="34154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381000</xdr:colOff>
      <xdr:row>56</xdr:row>
      <xdr:rowOff>9524</xdr:rowOff>
    </xdr:from>
    <xdr:to>
      <xdr:col>19</xdr:col>
      <xdr:colOff>517071</xdr:colOff>
      <xdr:row>70</xdr:row>
      <xdr:rowOff>85724</xdr:rowOff>
    </xdr:to>
    <xdr:graphicFrame macro="">
      <xdr:nvGraphicFramePr>
        <xdr:cNvPr id="15" name="Chart 1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176892</xdr:colOff>
      <xdr:row>30</xdr:row>
      <xdr:rowOff>172811</xdr:rowOff>
    </xdr:from>
    <xdr:to>
      <xdr:col>23</xdr:col>
      <xdr:colOff>557892</xdr:colOff>
      <xdr:row>45</xdr:row>
      <xdr:rowOff>58511</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1</xdr:colOff>
      <xdr:row>54</xdr:row>
      <xdr:rowOff>91167</xdr:rowOff>
    </xdr:from>
    <xdr:to>
      <xdr:col>22</xdr:col>
      <xdr:colOff>1469572</xdr:colOff>
      <xdr:row>68</xdr:row>
      <xdr:rowOff>167367</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598715</xdr:colOff>
      <xdr:row>15</xdr:row>
      <xdr:rowOff>77561</xdr:rowOff>
    </xdr:from>
    <xdr:to>
      <xdr:col>23</xdr:col>
      <xdr:colOff>979715</xdr:colOff>
      <xdr:row>29</xdr:row>
      <xdr:rowOff>153761</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36</xdr:col>
      <xdr:colOff>268940</xdr:colOff>
      <xdr:row>5</xdr:row>
      <xdr:rowOff>1</xdr:rowOff>
    </xdr:to>
    <xdr:sp macro="" textlink="">
      <xdr:nvSpPr>
        <xdr:cNvPr id="4" name="Rectangle 3"/>
        <xdr:cNvSpPr/>
      </xdr:nvSpPr>
      <xdr:spPr>
        <a:xfrm>
          <a:off x="0" y="1"/>
          <a:ext cx="21044646" cy="952500"/>
        </a:xfrm>
        <a:prstGeom prst="rect">
          <a:avLst/>
        </a:prstGeom>
        <a:solidFill>
          <a:schemeClr val="accent5">
            <a:lumMod val="60000"/>
            <a:lumOff val="4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400"/>
        </a:p>
      </xdr:txBody>
    </xdr:sp>
    <xdr:clientData/>
  </xdr:twoCellAnchor>
  <xdr:twoCellAnchor>
    <xdr:from>
      <xdr:col>3</xdr:col>
      <xdr:colOff>175772</xdr:colOff>
      <xdr:row>5</xdr:row>
      <xdr:rowOff>179293</xdr:rowOff>
    </xdr:from>
    <xdr:to>
      <xdr:col>7</xdr:col>
      <xdr:colOff>582706</xdr:colOff>
      <xdr:row>10</xdr:row>
      <xdr:rowOff>0</xdr:rowOff>
    </xdr:to>
    <xdr:sp macro="" textlink="">
      <xdr:nvSpPr>
        <xdr:cNvPr id="18" name="Rectangle 17"/>
        <xdr:cNvSpPr/>
      </xdr:nvSpPr>
      <xdr:spPr>
        <a:xfrm>
          <a:off x="1991125" y="1131793"/>
          <a:ext cx="2412787" cy="773207"/>
        </a:xfrm>
        <a:prstGeom prst="rect">
          <a:avLst/>
        </a:prstGeom>
        <a:solidFill>
          <a:schemeClr val="accent5">
            <a:lumMod val="60000"/>
            <a:lumOff val="4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600"/>
        </a:p>
      </xdr:txBody>
    </xdr:sp>
    <xdr:clientData/>
  </xdr:twoCellAnchor>
  <xdr:twoCellAnchor>
    <xdr:from>
      <xdr:col>9</xdr:col>
      <xdr:colOff>11206</xdr:colOff>
      <xdr:row>5</xdr:row>
      <xdr:rowOff>190499</xdr:rowOff>
    </xdr:from>
    <xdr:to>
      <xdr:col>14</xdr:col>
      <xdr:colOff>0</xdr:colOff>
      <xdr:row>10</xdr:row>
      <xdr:rowOff>0</xdr:rowOff>
    </xdr:to>
    <xdr:sp macro="" textlink="">
      <xdr:nvSpPr>
        <xdr:cNvPr id="19" name="Rectangle 18"/>
        <xdr:cNvSpPr/>
      </xdr:nvSpPr>
      <xdr:spPr>
        <a:xfrm>
          <a:off x="5042647" y="1142999"/>
          <a:ext cx="2073088" cy="762001"/>
        </a:xfrm>
        <a:prstGeom prst="rect">
          <a:avLst/>
        </a:prstGeom>
        <a:solidFill>
          <a:schemeClr val="accent5">
            <a:lumMod val="60000"/>
            <a:lumOff val="4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2</xdr:col>
      <xdr:colOff>0</xdr:colOff>
      <xdr:row>2</xdr:row>
      <xdr:rowOff>103487</xdr:rowOff>
    </xdr:from>
    <xdr:ext cx="5478231" cy="468013"/>
    <xdr:sp macro="" textlink="">
      <xdr:nvSpPr>
        <xdr:cNvPr id="6" name="TextBox 5"/>
        <xdr:cNvSpPr txBox="1"/>
      </xdr:nvSpPr>
      <xdr:spPr>
        <a:xfrm>
          <a:off x="1210235" y="484487"/>
          <a:ext cx="5478231"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400" b="1">
              <a:solidFill>
                <a:schemeClr val="tx1">
                  <a:lumMod val="75000"/>
                  <a:lumOff val="25000"/>
                </a:schemeClr>
              </a:solidFill>
            </a:rPr>
            <a:t>Global Income Group Analysis</a:t>
          </a:r>
          <a:r>
            <a:rPr lang="en-US" sz="2400" b="1" baseline="0">
              <a:solidFill>
                <a:schemeClr val="tx1">
                  <a:lumMod val="75000"/>
                  <a:lumOff val="25000"/>
                </a:schemeClr>
              </a:solidFill>
            </a:rPr>
            <a:t> </a:t>
          </a:r>
          <a:r>
            <a:rPr lang="en-US" sz="2400" b="1">
              <a:solidFill>
                <a:schemeClr val="tx1">
                  <a:lumMod val="75000"/>
                  <a:lumOff val="25000"/>
                </a:schemeClr>
              </a:solidFill>
            </a:rPr>
            <a:t>Dashboard</a:t>
          </a:r>
        </a:p>
      </xdr:txBody>
    </xdr:sp>
    <xdr:clientData/>
  </xdr:oneCellAnchor>
  <xdr:twoCellAnchor>
    <xdr:from>
      <xdr:col>15</xdr:col>
      <xdr:colOff>1</xdr:colOff>
      <xdr:row>6</xdr:row>
      <xdr:rowOff>0</xdr:rowOff>
    </xdr:from>
    <xdr:to>
      <xdr:col>19</xdr:col>
      <xdr:colOff>0</xdr:colOff>
      <xdr:row>9</xdr:row>
      <xdr:rowOff>189084</xdr:rowOff>
    </xdr:to>
    <xdr:sp macro="" textlink="">
      <xdr:nvSpPr>
        <xdr:cNvPr id="23" name="Rectangle 22"/>
        <xdr:cNvSpPr/>
      </xdr:nvSpPr>
      <xdr:spPr>
        <a:xfrm>
          <a:off x="7720854" y="1143000"/>
          <a:ext cx="2420470" cy="760584"/>
        </a:xfrm>
        <a:prstGeom prst="rect">
          <a:avLst/>
        </a:prstGeom>
        <a:solidFill>
          <a:schemeClr val="accent5">
            <a:lumMod val="60000"/>
            <a:lumOff val="4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5</xdr:col>
      <xdr:colOff>435704</xdr:colOff>
      <xdr:row>8</xdr:row>
      <xdr:rowOff>69504</xdr:rowOff>
    </xdr:from>
    <xdr:ext cx="275653" cy="311496"/>
    <xdr:sp macro="" textlink="'Pivot Table'!O12">
      <xdr:nvSpPr>
        <xdr:cNvPr id="25" name="TextBox 24"/>
        <xdr:cNvSpPr txBox="1"/>
      </xdr:nvSpPr>
      <xdr:spPr>
        <a:xfrm>
          <a:off x="3046675" y="1593504"/>
          <a:ext cx="275653"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9FD7624A-5DF7-4EF5-9546-63BF09D0E2CB}" type="TxLink">
            <a:rPr lang="en-US" sz="1400" b="1" i="0" u="none" strike="noStrike">
              <a:solidFill>
                <a:schemeClr val="tx1">
                  <a:lumMod val="75000"/>
                  <a:lumOff val="25000"/>
                </a:schemeClr>
              </a:solidFill>
              <a:latin typeface="Calibri"/>
              <a:cs typeface="Calibri"/>
            </a:rPr>
            <a:pPr/>
            <a:t>8</a:t>
          </a:fld>
          <a:endParaRPr lang="en-US" sz="1400" b="1">
            <a:solidFill>
              <a:schemeClr val="tx1">
                <a:lumMod val="75000"/>
                <a:lumOff val="25000"/>
              </a:schemeClr>
            </a:solidFill>
          </a:endParaRPr>
        </a:p>
      </xdr:txBody>
    </xdr:sp>
    <xdr:clientData/>
  </xdr:oneCellAnchor>
  <xdr:oneCellAnchor>
    <xdr:from>
      <xdr:col>4</xdr:col>
      <xdr:colOff>9445</xdr:colOff>
      <xdr:row>7</xdr:row>
      <xdr:rowOff>47736</xdr:rowOff>
    </xdr:from>
    <xdr:ext cx="2364441" cy="274320"/>
    <xdr:sp macro="" textlink="">
      <xdr:nvSpPr>
        <xdr:cNvPr id="26" name="TextBox 25"/>
        <xdr:cNvSpPr txBox="1"/>
      </xdr:nvSpPr>
      <xdr:spPr>
        <a:xfrm>
          <a:off x="2015298" y="1381236"/>
          <a:ext cx="2364441" cy="27432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400" b="1">
              <a:solidFill>
                <a:schemeClr val="tx1">
                  <a:lumMod val="75000"/>
                  <a:lumOff val="25000"/>
                </a:schemeClr>
              </a:solidFill>
            </a:rPr>
            <a:t>Number</a:t>
          </a:r>
          <a:r>
            <a:rPr lang="en-US" sz="1400" b="1" baseline="0">
              <a:solidFill>
                <a:schemeClr val="tx1">
                  <a:lumMod val="75000"/>
                  <a:lumOff val="25000"/>
                </a:schemeClr>
              </a:solidFill>
            </a:rPr>
            <a:t> of Regions</a:t>
          </a:r>
          <a:endParaRPr lang="en-US" sz="1400" b="1">
            <a:solidFill>
              <a:schemeClr val="tx1">
                <a:lumMod val="75000"/>
                <a:lumOff val="25000"/>
              </a:schemeClr>
            </a:solidFill>
          </a:endParaRPr>
        </a:p>
      </xdr:txBody>
    </xdr:sp>
    <xdr:clientData/>
  </xdr:oneCellAnchor>
  <xdr:oneCellAnchor>
    <xdr:from>
      <xdr:col>9</xdr:col>
      <xdr:colOff>31710</xdr:colOff>
      <xdr:row>7</xdr:row>
      <xdr:rowOff>53339</xdr:rowOff>
    </xdr:from>
    <xdr:ext cx="2032080" cy="274320"/>
    <xdr:sp macro="" textlink="">
      <xdr:nvSpPr>
        <xdr:cNvPr id="27" name="TextBox 26"/>
        <xdr:cNvSpPr txBox="1"/>
      </xdr:nvSpPr>
      <xdr:spPr>
        <a:xfrm>
          <a:off x="5063151" y="1386839"/>
          <a:ext cx="2032080" cy="27432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400" b="1">
              <a:solidFill>
                <a:schemeClr val="tx1">
                  <a:lumMod val="75000"/>
                  <a:lumOff val="25000"/>
                </a:schemeClr>
              </a:solidFill>
            </a:rPr>
            <a:t>Number of</a:t>
          </a:r>
          <a:r>
            <a:rPr lang="en-US" sz="1400" b="1" baseline="0">
              <a:solidFill>
                <a:schemeClr val="tx1">
                  <a:lumMod val="75000"/>
                  <a:lumOff val="25000"/>
                </a:schemeClr>
              </a:solidFill>
            </a:rPr>
            <a:t> Countries</a:t>
          </a:r>
          <a:endParaRPr lang="en-US" sz="1400" b="1">
            <a:solidFill>
              <a:schemeClr val="tx1">
                <a:lumMod val="75000"/>
                <a:lumOff val="25000"/>
              </a:schemeClr>
            </a:solidFill>
          </a:endParaRPr>
        </a:p>
      </xdr:txBody>
    </xdr:sp>
    <xdr:clientData/>
  </xdr:oneCellAnchor>
  <xdr:oneCellAnchor>
    <xdr:from>
      <xdr:col>16</xdr:col>
      <xdr:colOff>454275</xdr:colOff>
      <xdr:row>8</xdr:row>
      <xdr:rowOff>68088</xdr:rowOff>
    </xdr:from>
    <xdr:ext cx="275653" cy="311496"/>
    <xdr:sp macro="" textlink="'Pivot Table'!Q12">
      <xdr:nvSpPr>
        <xdr:cNvPr id="28" name="TextBox 27"/>
        <xdr:cNvSpPr txBox="1"/>
      </xdr:nvSpPr>
      <xdr:spPr>
        <a:xfrm>
          <a:off x="8780246" y="1592088"/>
          <a:ext cx="275653"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F2E61442-88E1-4C91-8E8B-A0DEEF06C08C}" type="TxLink">
            <a:rPr lang="en-US" sz="1400" b="1" i="0" u="none" strike="noStrike">
              <a:solidFill>
                <a:schemeClr val="tx1">
                  <a:lumMod val="75000"/>
                  <a:lumOff val="25000"/>
                </a:schemeClr>
              </a:solidFill>
              <a:latin typeface="Calibri"/>
              <a:cs typeface="Calibri"/>
            </a:rPr>
            <a:pPr/>
            <a:t>5</a:t>
          </a:fld>
          <a:endParaRPr lang="en-US" sz="1400" b="1">
            <a:solidFill>
              <a:schemeClr val="tx1">
                <a:lumMod val="75000"/>
                <a:lumOff val="25000"/>
              </a:schemeClr>
            </a:solidFill>
          </a:endParaRPr>
        </a:p>
      </xdr:txBody>
    </xdr:sp>
    <xdr:clientData/>
  </xdr:oneCellAnchor>
  <xdr:oneCellAnchor>
    <xdr:from>
      <xdr:col>11</xdr:col>
      <xdr:colOff>27545</xdr:colOff>
      <xdr:row>8</xdr:row>
      <xdr:rowOff>69504</xdr:rowOff>
    </xdr:from>
    <xdr:ext cx="275652" cy="311496"/>
    <xdr:sp macro="" textlink="'Pivot Table'!P12">
      <xdr:nvSpPr>
        <xdr:cNvPr id="29" name="TextBox 28"/>
        <xdr:cNvSpPr txBox="1"/>
      </xdr:nvSpPr>
      <xdr:spPr>
        <a:xfrm>
          <a:off x="5921839" y="1593504"/>
          <a:ext cx="275652"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fld id="{E25489E9-E282-4B47-9C93-B636CDE63865}" type="TxLink">
            <a:rPr lang="en-US" sz="1400" b="1" i="0" u="none" strike="noStrike">
              <a:solidFill>
                <a:schemeClr val="tx1">
                  <a:lumMod val="75000"/>
                  <a:lumOff val="25000"/>
                </a:schemeClr>
              </a:solidFill>
              <a:latin typeface="Calibri"/>
              <a:cs typeface="Calibri"/>
            </a:rPr>
            <a:pPr algn="ctr"/>
            <a:t>265</a:t>
          </a:fld>
          <a:endParaRPr lang="en-US" sz="1400" b="1">
            <a:solidFill>
              <a:schemeClr val="tx1">
                <a:lumMod val="75000"/>
                <a:lumOff val="25000"/>
              </a:schemeClr>
            </a:solidFill>
          </a:endParaRPr>
        </a:p>
      </xdr:txBody>
    </xdr:sp>
    <xdr:clientData/>
  </xdr:oneCellAnchor>
  <xdr:oneCellAnchor>
    <xdr:from>
      <xdr:col>15</xdr:col>
      <xdr:colOff>17352</xdr:colOff>
      <xdr:row>7</xdr:row>
      <xdr:rowOff>52632</xdr:rowOff>
    </xdr:from>
    <xdr:ext cx="2385768" cy="274320"/>
    <xdr:sp macro="" textlink="">
      <xdr:nvSpPr>
        <xdr:cNvPr id="30" name="TextBox 29"/>
        <xdr:cNvSpPr txBox="1"/>
      </xdr:nvSpPr>
      <xdr:spPr>
        <a:xfrm>
          <a:off x="7738205" y="1386132"/>
          <a:ext cx="2385768" cy="27432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400" b="1">
              <a:solidFill>
                <a:schemeClr val="tx1">
                  <a:lumMod val="75000"/>
                  <a:lumOff val="25000"/>
                </a:schemeClr>
              </a:solidFill>
            </a:rPr>
            <a:t>Number of</a:t>
          </a:r>
          <a:r>
            <a:rPr lang="en-US" sz="1400" b="1" baseline="0">
              <a:solidFill>
                <a:schemeClr val="tx1">
                  <a:lumMod val="75000"/>
                  <a:lumOff val="25000"/>
                </a:schemeClr>
              </a:solidFill>
            </a:rPr>
            <a:t> Income Groups</a:t>
          </a:r>
          <a:endParaRPr lang="en-US" sz="1400" b="1">
            <a:solidFill>
              <a:schemeClr val="tx1">
                <a:lumMod val="75000"/>
                <a:lumOff val="25000"/>
              </a:schemeClr>
            </a:solidFill>
          </a:endParaRPr>
        </a:p>
      </xdr:txBody>
    </xdr:sp>
    <xdr:clientData/>
  </xdr:oneCellAnchor>
  <xdr:twoCellAnchor editAs="oneCell">
    <xdr:from>
      <xdr:col>0</xdr:col>
      <xdr:colOff>0</xdr:colOff>
      <xdr:row>6</xdr:row>
      <xdr:rowOff>0</xdr:rowOff>
    </xdr:from>
    <xdr:to>
      <xdr:col>3</xdr:col>
      <xdr:colOff>0</xdr:colOff>
      <xdr:row>15</xdr:row>
      <xdr:rowOff>68034</xdr:rowOff>
    </xdr:to>
    <mc:AlternateContent xmlns:mc="http://schemas.openxmlformats.org/markup-compatibility/2006" xmlns:a14="http://schemas.microsoft.com/office/drawing/2010/main">
      <mc:Choice Requires="a14">
        <xdr:graphicFrame macro="">
          <xdr:nvGraphicFramePr>
            <xdr:cNvPr id="38" name="IncomeGroup 3"/>
            <xdr:cNvGraphicFramePr/>
          </xdr:nvGraphicFramePr>
          <xdr:xfrm>
            <a:off x="0" y="0"/>
            <a:ext cx="0" cy="0"/>
          </xdr:xfrm>
          <a:graphic>
            <a:graphicData uri="http://schemas.microsoft.com/office/drawing/2010/slicer">
              <sle:slicer xmlns:sle="http://schemas.microsoft.com/office/drawing/2010/slicer" name="IncomeGroup 3"/>
            </a:graphicData>
          </a:graphic>
        </xdr:graphicFrame>
      </mc:Choice>
      <mc:Fallback xmlns="">
        <xdr:sp macro="" textlink="">
          <xdr:nvSpPr>
            <xdr:cNvPr id="0" name=""/>
            <xdr:cNvSpPr>
              <a:spLocks noTextEdit="1"/>
            </xdr:cNvSpPr>
          </xdr:nvSpPr>
          <xdr:spPr>
            <a:xfrm>
              <a:off x="0" y="1143000"/>
              <a:ext cx="1781735" cy="17825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81642</xdr:rowOff>
    </xdr:from>
    <xdr:to>
      <xdr:col>3</xdr:col>
      <xdr:colOff>0</xdr:colOff>
      <xdr:row>29</xdr:row>
      <xdr:rowOff>0</xdr:rowOff>
    </xdr:to>
    <mc:AlternateContent xmlns:mc="http://schemas.openxmlformats.org/markup-compatibility/2006" xmlns:a14="http://schemas.microsoft.com/office/drawing/2010/main">
      <mc:Choice Requires="a14">
        <xdr:graphicFrame macro="">
          <xdr:nvGraphicFramePr>
            <xdr:cNvPr id="39" name="Region 3"/>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0" y="2939142"/>
              <a:ext cx="1815353" cy="25853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2</xdr:col>
      <xdr:colOff>0</xdr:colOff>
      <xdr:row>0</xdr:row>
      <xdr:rowOff>0</xdr:rowOff>
    </xdr:from>
    <xdr:ext cx="3148747" cy="530658"/>
    <xdr:sp macro="" textlink="">
      <xdr:nvSpPr>
        <xdr:cNvPr id="20" name="TextBox 19"/>
        <xdr:cNvSpPr txBox="1"/>
      </xdr:nvSpPr>
      <xdr:spPr>
        <a:xfrm>
          <a:off x="1210235" y="0"/>
          <a:ext cx="3148747"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800" b="1">
              <a:solidFill>
                <a:schemeClr val="tx1">
                  <a:lumMod val="75000"/>
                  <a:lumOff val="25000"/>
                </a:schemeClr>
              </a:solidFill>
            </a:rPr>
            <a:t>PRODIGY INFOTECH</a:t>
          </a:r>
        </a:p>
      </xdr:txBody>
    </xdr:sp>
    <xdr:clientData/>
  </xdr:oneCellAnchor>
  <xdr:twoCellAnchor editAs="oneCell">
    <xdr:from>
      <xdr:col>0</xdr:col>
      <xdr:colOff>0</xdr:colOff>
      <xdr:row>0</xdr:row>
      <xdr:rowOff>0</xdr:rowOff>
    </xdr:from>
    <xdr:to>
      <xdr:col>1</xdr:col>
      <xdr:colOff>580464</xdr:colOff>
      <xdr:row>5</xdr:row>
      <xdr:rowOff>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185582" cy="952500"/>
        </a:xfrm>
        <a:prstGeom prst="rect">
          <a:avLst/>
        </a:prstGeom>
      </xdr:spPr>
    </xdr:pic>
    <xdr:clientData/>
  </xdr:twoCellAnchor>
  <xdr:twoCellAnchor>
    <xdr:from>
      <xdr:col>10</xdr:col>
      <xdr:colOff>257734</xdr:colOff>
      <xdr:row>12</xdr:row>
      <xdr:rowOff>0</xdr:rowOff>
    </xdr:from>
    <xdr:to>
      <xdr:col>19</xdr:col>
      <xdr:colOff>582704</xdr:colOff>
      <xdr:row>33</xdr:row>
      <xdr:rowOff>0</xdr:rowOff>
    </xdr:to>
    <xdr:graphicFrame macro="">
      <xdr:nvGraphicFramePr>
        <xdr:cNvPr id="22" name="Chart 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0</xdr:colOff>
      <xdr:row>12</xdr:row>
      <xdr:rowOff>0</xdr:rowOff>
    </xdr:from>
    <xdr:to>
      <xdr:col>27</xdr:col>
      <xdr:colOff>0</xdr:colOff>
      <xdr:row>33</xdr:row>
      <xdr:rowOff>0</xdr:rowOff>
    </xdr:to>
    <xdr:graphicFrame macro="">
      <xdr:nvGraphicFramePr>
        <xdr:cNvPr id="24" name="Chart 2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xdr:colOff>
      <xdr:row>12</xdr:row>
      <xdr:rowOff>1</xdr:rowOff>
    </xdr:from>
    <xdr:to>
      <xdr:col>10</xdr:col>
      <xdr:colOff>1</xdr:colOff>
      <xdr:row>33</xdr:row>
      <xdr:rowOff>1</xdr:rowOff>
    </xdr:to>
    <xdr:graphicFrame macro="">
      <xdr:nvGraphicFramePr>
        <xdr:cNvPr id="31" name="Chart 3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TEEADU" refreshedDate="46170.685440162037" backgroundQuery="1" createdVersion="5" refreshedVersion="5" minRefreshableVersion="3" recordCount="0" supportSubquery="1" supportAdvancedDrill="1">
  <cacheSource type="external" connectionId="1"/>
  <cacheFields count="4">
    <cacheField name="[Measures].[Distinct Count of Region]" caption="Distinct Count of Region" numFmtId="0" hierarchy="6" level="32767"/>
    <cacheField name="[Measures].[Distinct Count of IncomeGroup]" caption="Distinct Count of IncomeGroup" numFmtId="0" hierarchy="9" level="32767"/>
    <cacheField name="[Measures].[Distinct Count of Country Code]" caption="Distinct Count of Country Code" numFmtId="0" hierarchy="10" level="32767"/>
    <cacheField name="[Table1].[IncomeGroup].[IncomeGroup]" caption="IncomeGroup" numFmtId="0" hierarchy="2" level="1">
      <sharedItems containsSemiMixedTypes="0" containsNonDate="0" containsString="0"/>
    </cacheField>
  </cacheFields>
  <cacheHierarchies count="13">
    <cacheHierarchy uniqueName="[Table1].[Country Code]" caption="Country Code" attribute="1" defaultMemberUniqueName="[Table1].[Country Code].[All]" allUniqueName="[Table1].[Country Code].[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IncomeGroup]" caption="IncomeGroup" attribute="1" defaultMemberUniqueName="[Table1].[IncomeGroup].[All]" allUniqueName="[Table1].[IncomeGroup].[All]" dimensionUniqueName="[Table1]" displayFolder="" count="2" memberValueDatatype="130" unbalanced="0">
      <fieldsUsage count="2">
        <fieldUsage x="-1"/>
        <fieldUsage x="3"/>
      </fieldsUsage>
    </cacheHierarchy>
    <cacheHierarchy uniqueName="[Table1].[SpecialNotes]" caption="SpecialNotes" attribute="1" defaultMemberUniqueName="[Table1].[SpecialNotes].[All]" allUniqueName="[Table1].[SpecialNotes].[All]" dimensionUniqueName="[Table1]" displayFolder="" count="2" memberValueDatatype="130" unbalanced="0"/>
    <cacheHierarchy uniqueName="[Table1].[TableName]" caption="TableName" attribute="1" defaultMemberUniqueName="[Table1].[TableName].[All]" allUniqueName="[Table1].[TableName].[All]" dimensionUniqueName="[Table1]" displayFolder="" count="2" memberValueDatatype="130" unbalanced="0"/>
    <cacheHierarchy uniqueName="[Measures].[Count of Region]" caption="Count of Region" measure="1" displayFolder="" measureGroup="Table1" count="0">
      <extLst>
        <ext xmlns:x15="http://schemas.microsoft.com/office/spreadsheetml/2010/11/main" uri="{B97F6D7D-B522-45F9-BDA1-12C45D357490}">
          <x15:cacheHierarchy aggregatedColumn="1"/>
        </ext>
      </extLst>
    </cacheHierarchy>
    <cacheHierarchy uniqueName="[Measures].[Distinct Count of Region]" caption="Distinct Count of Region" measure="1" displayFolder="" measureGroup="Table1" count="0" oneField="1">
      <fieldsUsage count="1">
        <fieldUsage x="0"/>
      </fieldsUsage>
      <extLst>
        <ext xmlns:x15="http://schemas.microsoft.com/office/spreadsheetml/2010/11/main" uri="{B97F6D7D-B522-45F9-BDA1-12C45D357490}">
          <x15:cacheHierarchy aggregatedColumn="1"/>
        </ext>
      </extLst>
    </cacheHierarchy>
    <cacheHierarchy uniqueName="[Measures].[Count of Country Code]" caption="Count of Country Code" measure="1" displayFolder="" measureGroup="Table1" count="0">
      <extLst>
        <ext xmlns:x15="http://schemas.microsoft.com/office/spreadsheetml/2010/11/main" uri="{B97F6D7D-B522-45F9-BDA1-12C45D357490}">
          <x15:cacheHierarchy aggregatedColumn="0"/>
        </ext>
      </extLst>
    </cacheHierarchy>
    <cacheHierarchy uniqueName="[Measures].[Count of IncomeGroup]" caption="Count of IncomeGroup" measure="1" displayFolder="" measureGroup="Table1" count="0">
      <extLst>
        <ext xmlns:x15="http://schemas.microsoft.com/office/spreadsheetml/2010/11/main" uri="{B97F6D7D-B522-45F9-BDA1-12C45D357490}">
          <x15:cacheHierarchy aggregatedColumn="2"/>
        </ext>
      </extLst>
    </cacheHierarchy>
    <cacheHierarchy uniqueName="[Measures].[Distinct Count of IncomeGroup]" caption="Distinct Count of IncomeGroup" measure="1" displayFolder="" measureGroup="Table1" count="0" oneField="1">
      <fieldsUsage count="1">
        <fieldUsage x="1"/>
      </fieldsUsage>
      <extLst>
        <ext xmlns:x15="http://schemas.microsoft.com/office/spreadsheetml/2010/11/main" uri="{B97F6D7D-B522-45F9-BDA1-12C45D357490}">
          <x15:cacheHierarchy aggregatedColumn="2"/>
        </ext>
      </extLst>
    </cacheHierarchy>
    <cacheHierarchy uniqueName="[Measures].[Distinct Count of Country Code]" caption="Distinct Count of Country Code" measure="1" displayFolder="" measureGroup="Table1" count="0" oneField="1">
      <fieldsUsage count="1">
        <fieldUsage x="2"/>
      </fieldsUsage>
      <extLst>
        <ext xmlns:x15="http://schemas.microsoft.com/office/spreadsheetml/2010/11/main" uri="{B97F6D7D-B522-45F9-BDA1-12C45D357490}">
          <x15:cacheHierarchy aggregatedColumn="0"/>
        </ext>
      </extLst>
    </cacheHierarchy>
    <cacheHierarchy uniqueName="[Measures].[__XL_Count Table1]" caption="__XL_Count Table1" measure="1" displayFolder="" measureGroup="Table1" count="0" hidden="1"/>
    <cacheHierarchy uniqueName="[Measures].[__XL_Count of Models]" caption="__XL_Count of Models"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TEEADU" refreshedDate="46170.685441550922" backgroundQuery="1" createdVersion="5" refreshedVersion="5" minRefreshableVersion="3" recordCount="0" supportSubquery="1" supportAdvancedDrill="1">
  <cacheSource type="external" connectionId="1"/>
  <cacheFields count="3">
    <cacheField name="[Table1].[IncomeGroup].[IncomeGroup]" caption="IncomeGroup" numFmtId="0" hierarchy="2" level="1">
      <sharedItems count="5">
        <s v="High income"/>
        <s v="Low income"/>
        <s v="Lower middle income"/>
        <s v="Not specified"/>
        <s v="Upper middle income"/>
      </sharedItems>
    </cacheField>
    <cacheField name="[Table1].[Region].[Region]" caption="Region" numFmtId="0" hierarchy="1" level="1">
      <sharedItems count="8">
        <s v="East Asia &amp; Pacific"/>
        <s v="Europe &amp; Central Asia"/>
        <s v="Latin America &amp; Caribbean"/>
        <s v="Middle East, North Africa, Afghanistan &amp; Pakistan"/>
        <s v="North America"/>
        <s v="Not specified"/>
        <s v="South Asia"/>
        <s v="Sub-Saharan Africa"/>
      </sharedItems>
    </cacheField>
    <cacheField name="[Measures].[Count of Country Code]" caption="Count of Country Code" numFmtId="0" hierarchy="7" level="32767"/>
  </cacheFields>
  <cacheHierarchies count="13">
    <cacheHierarchy uniqueName="[Table1].[Country Code]" caption="Country Code" attribute="1" defaultMemberUniqueName="[Table1].[Country Code].[All]" allUniqueName="[Table1].[Country Code].[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1"/>
      </fieldsUsage>
    </cacheHierarchy>
    <cacheHierarchy uniqueName="[Table1].[IncomeGroup]" caption="IncomeGroup" attribute="1" defaultMemberUniqueName="[Table1].[IncomeGroup].[All]" allUniqueName="[Table1].[IncomeGroup].[All]" dimensionUniqueName="[Table1]" displayFolder="" count="2" memberValueDatatype="130" unbalanced="0">
      <fieldsUsage count="2">
        <fieldUsage x="-1"/>
        <fieldUsage x="0"/>
      </fieldsUsage>
    </cacheHierarchy>
    <cacheHierarchy uniqueName="[Table1].[SpecialNotes]" caption="SpecialNotes" attribute="1" defaultMemberUniqueName="[Table1].[SpecialNotes].[All]" allUniqueName="[Table1].[SpecialNotes].[All]" dimensionUniqueName="[Table1]" displayFolder="" count="2" memberValueDatatype="130" unbalanced="0"/>
    <cacheHierarchy uniqueName="[Table1].[TableName]" caption="TableName" attribute="1" defaultMemberUniqueName="[Table1].[TableName].[All]" allUniqueName="[Table1].[TableName].[All]" dimensionUniqueName="[Table1]" displayFolder="" count="2" memberValueDatatype="130" unbalanced="0"/>
    <cacheHierarchy uniqueName="[Measures].[Count of Region]" caption="Count of Region" measure="1" displayFolder="" measureGroup="Table1" count="0">
      <extLst>
        <ext xmlns:x15="http://schemas.microsoft.com/office/spreadsheetml/2010/11/main" uri="{B97F6D7D-B522-45F9-BDA1-12C45D357490}">
          <x15:cacheHierarchy aggregatedColumn="1"/>
        </ext>
      </extLst>
    </cacheHierarchy>
    <cacheHierarchy uniqueName="[Measures].[Distinct Count of Region]" caption="Distinct Count of Region" measure="1" displayFolder="" measureGroup="Table1" count="0">
      <extLst>
        <ext xmlns:x15="http://schemas.microsoft.com/office/spreadsheetml/2010/11/main" uri="{B97F6D7D-B522-45F9-BDA1-12C45D357490}">
          <x15:cacheHierarchy aggregatedColumn="1"/>
        </ext>
      </extLst>
    </cacheHierarchy>
    <cacheHierarchy uniqueName="[Measures].[Count of Country Code]" caption="Count of Country Code" measure="1" displayFolder="" measureGroup="Table1" count="0" oneField="1">
      <fieldsUsage count="1">
        <fieldUsage x="2"/>
      </fieldsUsage>
      <extLst>
        <ext xmlns:x15="http://schemas.microsoft.com/office/spreadsheetml/2010/11/main" uri="{B97F6D7D-B522-45F9-BDA1-12C45D357490}">
          <x15:cacheHierarchy aggregatedColumn="0"/>
        </ext>
      </extLst>
    </cacheHierarchy>
    <cacheHierarchy uniqueName="[Measures].[Count of IncomeGroup]" caption="Count of IncomeGroup" measure="1" displayFolder="" measureGroup="Table1" count="0">
      <extLst>
        <ext xmlns:x15="http://schemas.microsoft.com/office/spreadsheetml/2010/11/main" uri="{B97F6D7D-B522-45F9-BDA1-12C45D357490}">
          <x15:cacheHierarchy aggregatedColumn="2"/>
        </ext>
      </extLst>
    </cacheHierarchy>
    <cacheHierarchy uniqueName="[Measures].[Distinct Count of IncomeGroup]" caption="Distinct Count of IncomeGroup" measure="1" displayFolder="" measureGroup="Table1" count="0">
      <extLst>
        <ext xmlns:x15="http://schemas.microsoft.com/office/spreadsheetml/2010/11/main" uri="{B97F6D7D-B522-45F9-BDA1-12C45D357490}">
          <x15:cacheHierarchy aggregatedColumn="2"/>
        </ext>
      </extLst>
    </cacheHierarchy>
    <cacheHierarchy uniqueName="[Measures].[Distinct Count of Country Code]" caption="Distinct Count of Country Code" measure="1" displayFolder="" measureGroup="Table1" count="0">
      <extLst>
        <ext xmlns:x15="http://schemas.microsoft.com/office/spreadsheetml/2010/11/main" uri="{B97F6D7D-B522-45F9-BDA1-12C45D357490}">
          <x15:cacheHierarchy aggregatedColumn="0"/>
        </ext>
      </extLst>
    </cacheHierarchy>
    <cacheHierarchy uniqueName="[Measures].[__XL_Count Table1]" caption="__XL_Count Table1" measure="1" displayFolder="" measureGroup="Table1" count="0" hidden="1"/>
    <cacheHierarchy uniqueName="[Measures].[__XL_Count of Models]" caption="__XL_Count of Models"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TEEADU" refreshedDate="46170.690937500003" backgroundQuery="1" createdVersion="5" refreshedVersion="5" minRefreshableVersion="3" recordCount="0" supportSubquery="1" supportAdvancedDrill="1">
  <cacheSource type="external" connectionId="1"/>
  <cacheFields count="2">
    <cacheField name="[Measures].[Distinct Count of Country Code]" caption="Distinct Count of Country Code" numFmtId="0" hierarchy="10" level="32767"/>
    <cacheField name="[Table1].[IncomeGroup].[IncomeGroup]" caption="IncomeGroup" numFmtId="0" hierarchy="2" level="1">
      <sharedItems count="5">
        <s v="High income"/>
        <s v="Low income"/>
        <s v="Lower middle income"/>
        <s v="Not specified"/>
        <s v="Upper middle income"/>
      </sharedItems>
    </cacheField>
  </cacheFields>
  <cacheHierarchies count="13">
    <cacheHierarchy uniqueName="[Table1].[Country Code]" caption="Country Code" attribute="1" defaultMemberUniqueName="[Table1].[Country Code].[All]" allUniqueName="[Table1].[Country Code].[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IncomeGroup]" caption="IncomeGroup" attribute="1" defaultMemberUniqueName="[Table1].[IncomeGroup].[All]" allUniqueName="[Table1].[IncomeGroup].[All]" dimensionUniqueName="[Table1]" displayFolder="" count="2" memberValueDatatype="130" unbalanced="0">
      <fieldsUsage count="2">
        <fieldUsage x="-1"/>
        <fieldUsage x="1"/>
      </fieldsUsage>
    </cacheHierarchy>
    <cacheHierarchy uniqueName="[Table1].[SpecialNotes]" caption="SpecialNotes" attribute="1" defaultMemberUniqueName="[Table1].[SpecialNotes].[All]" allUniqueName="[Table1].[SpecialNotes].[All]" dimensionUniqueName="[Table1]" displayFolder="" count="2" memberValueDatatype="130" unbalanced="0"/>
    <cacheHierarchy uniqueName="[Table1].[TableName]" caption="TableName" attribute="1" defaultMemberUniqueName="[Table1].[TableName].[All]" allUniqueName="[Table1].[TableName].[All]" dimensionUniqueName="[Table1]" displayFolder="" count="2" memberValueDatatype="130" unbalanced="0"/>
    <cacheHierarchy uniqueName="[Measures].[Count of Region]" caption="Count of Region" measure="1" displayFolder="" measureGroup="Table1" count="0">
      <extLst>
        <ext xmlns:x15="http://schemas.microsoft.com/office/spreadsheetml/2010/11/main" uri="{B97F6D7D-B522-45F9-BDA1-12C45D357490}">
          <x15:cacheHierarchy aggregatedColumn="1"/>
        </ext>
      </extLst>
    </cacheHierarchy>
    <cacheHierarchy uniqueName="[Measures].[Distinct Count of Region]" caption="Distinct Count of Region" measure="1" displayFolder="" measureGroup="Table1" count="0">
      <extLst>
        <ext xmlns:x15="http://schemas.microsoft.com/office/spreadsheetml/2010/11/main" uri="{B97F6D7D-B522-45F9-BDA1-12C45D357490}">
          <x15:cacheHierarchy aggregatedColumn="1"/>
        </ext>
      </extLst>
    </cacheHierarchy>
    <cacheHierarchy uniqueName="[Measures].[Count of Country Code]" caption="Count of Country Code" measure="1" displayFolder="" measureGroup="Table1" count="0">
      <extLst>
        <ext xmlns:x15="http://schemas.microsoft.com/office/spreadsheetml/2010/11/main" uri="{B97F6D7D-B522-45F9-BDA1-12C45D357490}">
          <x15:cacheHierarchy aggregatedColumn="0"/>
        </ext>
      </extLst>
    </cacheHierarchy>
    <cacheHierarchy uniqueName="[Measures].[Count of IncomeGroup]" caption="Count of IncomeGroup" measure="1" displayFolder="" measureGroup="Table1" count="0">
      <extLst>
        <ext xmlns:x15="http://schemas.microsoft.com/office/spreadsheetml/2010/11/main" uri="{B97F6D7D-B522-45F9-BDA1-12C45D357490}">
          <x15:cacheHierarchy aggregatedColumn="2"/>
        </ext>
      </extLst>
    </cacheHierarchy>
    <cacheHierarchy uniqueName="[Measures].[Distinct Count of IncomeGroup]" caption="Distinct Count of IncomeGroup" measure="1" displayFolder="" measureGroup="Table1" count="0">
      <extLst>
        <ext xmlns:x15="http://schemas.microsoft.com/office/spreadsheetml/2010/11/main" uri="{B97F6D7D-B522-45F9-BDA1-12C45D357490}">
          <x15:cacheHierarchy aggregatedColumn="2"/>
        </ext>
      </extLst>
    </cacheHierarchy>
    <cacheHierarchy uniqueName="[Measures].[Distinct Count of Country Code]" caption="Distinct Count of Country Code" measure="1" displayFolder="" measureGroup="Table1" count="0" oneField="1">
      <fieldsUsage count="1">
        <fieldUsage x="0"/>
      </fieldsUsage>
      <extLst>
        <ext xmlns:x15="http://schemas.microsoft.com/office/spreadsheetml/2010/11/main" uri="{B97F6D7D-B522-45F9-BDA1-12C45D357490}">
          <x15:cacheHierarchy aggregatedColumn="0"/>
        </ext>
      </extLst>
    </cacheHierarchy>
    <cacheHierarchy uniqueName="[Measures].[__XL_Count Table1]" caption="__XL_Count Table1" measure="1" displayFolder="" measureGroup="Table1" count="0" hidden="1"/>
    <cacheHierarchy uniqueName="[Measures].[__XL_Count of Models]" caption="__XL_Count of Models"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TEEADU" refreshedDate="46170.691136689813" backgroundQuery="1" createdVersion="5" refreshedVersion="5" minRefreshableVersion="3" recordCount="0" supportSubquery="1" supportAdvancedDrill="1">
  <cacheSource type="external" connectionId="1"/>
  <cacheFields count="2">
    <cacheField name="[Table1].[IncomeGroup].[IncomeGroup]" caption="IncomeGroup" numFmtId="0" hierarchy="2" level="1">
      <sharedItems count="5">
        <s v="High income"/>
        <s v="Low income"/>
        <s v="Lower middle income"/>
        <s v="Not specified"/>
        <s v="Upper middle income"/>
      </sharedItems>
    </cacheField>
    <cacheField name="[Measures].[Count of Country Code]" caption="Count of Country Code" numFmtId="0" hierarchy="7" level="32767"/>
  </cacheFields>
  <cacheHierarchies count="13">
    <cacheHierarchy uniqueName="[Table1].[Country Code]" caption="Country Code" attribute="1" defaultMemberUniqueName="[Table1].[Country Code].[All]" allUniqueName="[Table1].[Country Code].[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IncomeGroup]" caption="IncomeGroup" attribute="1" defaultMemberUniqueName="[Table1].[IncomeGroup].[All]" allUniqueName="[Table1].[IncomeGroup].[All]" dimensionUniqueName="[Table1]" displayFolder="" count="2" memberValueDatatype="130" unbalanced="0">
      <fieldsUsage count="2">
        <fieldUsage x="-1"/>
        <fieldUsage x="0"/>
      </fieldsUsage>
    </cacheHierarchy>
    <cacheHierarchy uniqueName="[Table1].[SpecialNotes]" caption="SpecialNotes" attribute="1" defaultMemberUniqueName="[Table1].[SpecialNotes].[All]" allUniqueName="[Table1].[SpecialNotes].[All]" dimensionUniqueName="[Table1]" displayFolder="" count="2" memberValueDatatype="130" unbalanced="0"/>
    <cacheHierarchy uniqueName="[Table1].[TableName]" caption="TableName" attribute="1" defaultMemberUniqueName="[Table1].[TableName].[All]" allUniqueName="[Table1].[TableName].[All]" dimensionUniqueName="[Table1]" displayFolder="" count="2" memberValueDatatype="130" unbalanced="0"/>
    <cacheHierarchy uniqueName="[Measures].[Count of Region]" caption="Count of Region" measure="1" displayFolder="" measureGroup="Table1" count="0">
      <extLst>
        <ext xmlns:x15="http://schemas.microsoft.com/office/spreadsheetml/2010/11/main" uri="{B97F6D7D-B522-45F9-BDA1-12C45D357490}">
          <x15:cacheHierarchy aggregatedColumn="1"/>
        </ext>
      </extLst>
    </cacheHierarchy>
    <cacheHierarchy uniqueName="[Measures].[Distinct Count of Region]" caption="Distinct Count of Region" measure="1" displayFolder="" measureGroup="Table1" count="0">
      <extLst>
        <ext xmlns:x15="http://schemas.microsoft.com/office/spreadsheetml/2010/11/main" uri="{B97F6D7D-B522-45F9-BDA1-12C45D357490}">
          <x15:cacheHierarchy aggregatedColumn="1"/>
        </ext>
      </extLst>
    </cacheHierarchy>
    <cacheHierarchy uniqueName="[Measures].[Count of Country Code]" caption="Count of Country Code" measure="1" displayFolder="" measureGroup="Table1" count="0" oneField="1">
      <fieldsUsage count="1">
        <fieldUsage x="1"/>
      </fieldsUsage>
      <extLst>
        <ext xmlns:x15="http://schemas.microsoft.com/office/spreadsheetml/2010/11/main" uri="{B97F6D7D-B522-45F9-BDA1-12C45D357490}">
          <x15:cacheHierarchy aggregatedColumn="0"/>
        </ext>
      </extLst>
    </cacheHierarchy>
    <cacheHierarchy uniqueName="[Measures].[Count of IncomeGroup]" caption="Count of IncomeGroup" measure="1" displayFolder="" measureGroup="Table1" count="0">
      <extLst>
        <ext xmlns:x15="http://schemas.microsoft.com/office/spreadsheetml/2010/11/main" uri="{B97F6D7D-B522-45F9-BDA1-12C45D357490}">
          <x15:cacheHierarchy aggregatedColumn="2"/>
        </ext>
      </extLst>
    </cacheHierarchy>
    <cacheHierarchy uniqueName="[Measures].[Distinct Count of IncomeGroup]" caption="Distinct Count of IncomeGroup" measure="1" displayFolder="" measureGroup="Table1" count="0">
      <extLst>
        <ext xmlns:x15="http://schemas.microsoft.com/office/spreadsheetml/2010/11/main" uri="{B97F6D7D-B522-45F9-BDA1-12C45D357490}">
          <x15:cacheHierarchy aggregatedColumn="2"/>
        </ext>
      </extLst>
    </cacheHierarchy>
    <cacheHierarchy uniqueName="[Measures].[Distinct Count of Country Code]" caption="Distinct Count of Country Code" measure="1" displayFolder="" measureGroup="Table1" count="0">
      <extLst>
        <ext xmlns:x15="http://schemas.microsoft.com/office/spreadsheetml/2010/11/main" uri="{B97F6D7D-B522-45F9-BDA1-12C45D357490}">
          <x15:cacheHierarchy aggregatedColumn="0"/>
        </ext>
      </extLst>
    </cacheHierarchy>
    <cacheHierarchy uniqueName="[Measures].[__XL_Count Table1]" caption="__XL_Count Table1" measure="1" displayFolder="" measureGroup="Table1" count="0" hidden="1"/>
    <cacheHierarchy uniqueName="[Measures].[__XL_Count of Models]" caption="__XL_Count of Models"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TEEADU" refreshedDate="46170.691303703701" backgroundQuery="1" createdVersion="5" refreshedVersion="5" minRefreshableVersion="3" recordCount="0" supportSubquery="1" supportAdvancedDrill="1">
  <cacheSource type="external" connectionId="1"/>
  <cacheFields count="2">
    <cacheField name="[Measures].[Distinct Count of Country Code]" caption="Distinct Count of Country Code" numFmtId="0" hierarchy="10" level="32767"/>
    <cacheField name="[Table1].[Region].[Region]" caption="Region" numFmtId="0" hierarchy="1" level="1">
      <sharedItems count="8">
        <s v="East Asia &amp; Pacific"/>
        <s v="Europe &amp; Central Asia"/>
        <s v="Latin America &amp; Caribbean"/>
        <s v="Middle East, North Africa, Afghanistan &amp; Pakistan"/>
        <s v="North America"/>
        <s v="Not specified"/>
        <s v="South Asia"/>
        <s v="Sub-Saharan Africa"/>
      </sharedItems>
    </cacheField>
  </cacheFields>
  <cacheHierarchies count="13">
    <cacheHierarchy uniqueName="[Table1].[Country Code]" caption="Country Code" attribute="1" defaultMemberUniqueName="[Table1].[Country Code].[All]" allUniqueName="[Table1].[Country Code].[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1"/>
      </fieldsUsage>
    </cacheHierarchy>
    <cacheHierarchy uniqueName="[Table1].[IncomeGroup]" caption="IncomeGroup" attribute="1" defaultMemberUniqueName="[Table1].[IncomeGroup].[All]" allUniqueName="[Table1].[IncomeGroup].[All]" dimensionUniqueName="[Table1]" displayFolder="" count="2" memberValueDatatype="130" unbalanced="0"/>
    <cacheHierarchy uniqueName="[Table1].[SpecialNotes]" caption="SpecialNotes" attribute="1" defaultMemberUniqueName="[Table1].[SpecialNotes].[All]" allUniqueName="[Table1].[SpecialNotes].[All]" dimensionUniqueName="[Table1]" displayFolder="" count="2" memberValueDatatype="130" unbalanced="0"/>
    <cacheHierarchy uniqueName="[Table1].[TableName]" caption="TableName" attribute="1" defaultMemberUniqueName="[Table1].[TableName].[All]" allUniqueName="[Table1].[TableName].[All]" dimensionUniqueName="[Table1]" displayFolder="" count="2" memberValueDatatype="130" unbalanced="0"/>
    <cacheHierarchy uniqueName="[Measures].[Count of Region]" caption="Count of Region" measure="1" displayFolder="" measureGroup="Table1" count="0">
      <extLst>
        <ext xmlns:x15="http://schemas.microsoft.com/office/spreadsheetml/2010/11/main" uri="{B97F6D7D-B522-45F9-BDA1-12C45D357490}">
          <x15:cacheHierarchy aggregatedColumn="1"/>
        </ext>
      </extLst>
    </cacheHierarchy>
    <cacheHierarchy uniqueName="[Measures].[Distinct Count of Region]" caption="Distinct Count of Region" measure="1" displayFolder="" measureGroup="Table1" count="0">
      <extLst>
        <ext xmlns:x15="http://schemas.microsoft.com/office/spreadsheetml/2010/11/main" uri="{B97F6D7D-B522-45F9-BDA1-12C45D357490}">
          <x15:cacheHierarchy aggregatedColumn="1"/>
        </ext>
      </extLst>
    </cacheHierarchy>
    <cacheHierarchy uniqueName="[Measures].[Count of Country Code]" caption="Count of Country Code" measure="1" displayFolder="" measureGroup="Table1" count="0">
      <extLst>
        <ext xmlns:x15="http://schemas.microsoft.com/office/spreadsheetml/2010/11/main" uri="{B97F6D7D-B522-45F9-BDA1-12C45D357490}">
          <x15:cacheHierarchy aggregatedColumn="0"/>
        </ext>
      </extLst>
    </cacheHierarchy>
    <cacheHierarchy uniqueName="[Measures].[Count of IncomeGroup]" caption="Count of IncomeGroup" measure="1" displayFolder="" measureGroup="Table1" count="0">
      <extLst>
        <ext xmlns:x15="http://schemas.microsoft.com/office/spreadsheetml/2010/11/main" uri="{B97F6D7D-B522-45F9-BDA1-12C45D357490}">
          <x15:cacheHierarchy aggregatedColumn="2"/>
        </ext>
      </extLst>
    </cacheHierarchy>
    <cacheHierarchy uniqueName="[Measures].[Distinct Count of IncomeGroup]" caption="Distinct Count of IncomeGroup" measure="1" displayFolder="" measureGroup="Table1" count="0">
      <extLst>
        <ext xmlns:x15="http://schemas.microsoft.com/office/spreadsheetml/2010/11/main" uri="{B97F6D7D-B522-45F9-BDA1-12C45D357490}">
          <x15:cacheHierarchy aggregatedColumn="2"/>
        </ext>
      </extLst>
    </cacheHierarchy>
    <cacheHierarchy uniqueName="[Measures].[Distinct Count of Country Code]" caption="Distinct Count of Country Code" measure="1" displayFolder="" measureGroup="Table1" count="0" oneField="1">
      <fieldsUsage count="1">
        <fieldUsage x="0"/>
      </fieldsUsage>
      <extLst>
        <ext xmlns:x15="http://schemas.microsoft.com/office/spreadsheetml/2010/11/main" uri="{B97F6D7D-B522-45F9-BDA1-12C45D357490}">
          <x15:cacheHierarchy aggregatedColumn="0"/>
        </ext>
      </extLst>
    </cacheHierarchy>
    <cacheHierarchy uniqueName="[Measures].[__XL_Count Table1]" caption="__XL_Count Table1" measure="1" displayFolder="" measureGroup="Table1" count="0" hidden="1"/>
    <cacheHierarchy uniqueName="[Measures].[__XL_Count of Models]" caption="__XL_Count of Models"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TEEADU" refreshedDate="46170.691414351852" backgroundQuery="1" createdVersion="5" refreshedVersion="5" minRefreshableVersion="3" recordCount="0" supportSubquery="1" supportAdvancedDrill="1">
  <cacheSource type="external" connectionId="1"/>
  <cacheFields count="2">
    <cacheField name="[Table1].[IncomeGroup].[IncomeGroup]" caption="IncomeGroup" numFmtId="0" hierarchy="2" level="1">
      <sharedItems count="5">
        <s v="High income"/>
        <s v="Low income"/>
        <s v="Lower middle income"/>
        <s v="Not specified"/>
        <s v="Upper middle income"/>
      </sharedItems>
    </cacheField>
    <cacheField name="[Measures].[Count of Country Code]" caption="Count of Country Code" numFmtId="0" hierarchy="7" level="32767"/>
  </cacheFields>
  <cacheHierarchies count="13">
    <cacheHierarchy uniqueName="[Table1].[Country Code]" caption="Country Code" attribute="1" defaultMemberUniqueName="[Table1].[Country Code].[All]" allUniqueName="[Table1].[Country Code].[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IncomeGroup]" caption="IncomeGroup" attribute="1" defaultMemberUniqueName="[Table1].[IncomeGroup].[All]" allUniqueName="[Table1].[IncomeGroup].[All]" dimensionUniqueName="[Table1]" displayFolder="" count="2" memberValueDatatype="130" unbalanced="0">
      <fieldsUsage count="2">
        <fieldUsage x="-1"/>
        <fieldUsage x="0"/>
      </fieldsUsage>
    </cacheHierarchy>
    <cacheHierarchy uniqueName="[Table1].[SpecialNotes]" caption="SpecialNotes" attribute="1" defaultMemberUniqueName="[Table1].[SpecialNotes].[All]" allUniqueName="[Table1].[SpecialNotes].[All]" dimensionUniqueName="[Table1]" displayFolder="" count="2" memberValueDatatype="130" unbalanced="0"/>
    <cacheHierarchy uniqueName="[Table1].[TableName]" caption="TableName" attribute="1" defaultMemberUniqueName="[Table1].[TableName].[All]" allUniqueName="[Table1].[TableName].[All]" dimensionUniqueName="[Table1]" displayFolder="" count="2" memberValueDatatype="130" unbalanced="0"/>
    <cacheHierarchy uniqueName="[Measures].[Count of Region]" caption="Count of Region" measure="1" displayFolder="" measureGroup="Table1" count="0">
      <extLst>
        <ext xmlns:x15="http://schemas.microsoft.com/office/spreadsheetml/2010/11/main" uri="{B97F6D7D-B522-45F9-BDA1-12C45D357490}">
          <x15:cacheHierarchy aggregatedColumn="1"/>
        </ext>
      </extLst>
    </cacheHierarchy>
    <cacheHierarchy uniqueName="[Measures].[Distinct Count of Region]" caption="Distinct Count of Region" measure="1" displayFolder="" measureGroup="Table1" count="0">
      <extLst>
        <ext xmlns:x15="http://schemas.microsoft.com/office/spreadsheetml/2010/11/main" uri="{B97F6D7D-B522-45F9-BDA1-12C45D357490}">
          <x15:cacheHierarchy aggregatedColumn="1"/>
        </ext>
      </extLst>
    </cacheHierarchy>
    <cacheHierarchy uniqueName="[Measures].[Count of Country Code]" caption="Count of Country Code" measure="1" displayFolder="" measureGroup="Table1" count="0" oneField="1">
      <fieldsUsage count="1">
        <fieldUsage x="1"/>
      </fieldsUsage>
      <extLst>
        <ext xmlns:x15="http://schemas.microsoft.com/office/spreadsheetml/2010/11/main" uri="{B97F6D7D-B522-45F9-BDA1-12C45D357490}">
          <x15:cacheHierarchy aggregatedColumn="0"/>
        </ext>
      </extLst>
    </cacheHierarchy>
    <cacheHierarchy uniqueName="[Measures].[Count of IncomeGroup]" caption="Count of IncomeGroup" measure="1" displayFolder="" measureGroup="Table1" count="0">
      <extLst>
        <ext xmlns:x15="http://schemas.microsoft.com/office/spreadsheetml/2010/11/main" uri="{B97F6D7D-B522-45F9-BDA1-12C45D357490}">
          <x15:cacheHierarchy aggregatedColumn="2"/>
        </ext>
      </extLst>
    </cacheHierarchy>
    <cacheHierarchy uniqueName="[Measures].[Distinct Count of IncomeGroup]" caption="Distinct Count of IncomeGroup" measure="1" displayFolder="" measureGroup="Table1" count="0">
      <extLst>
        <ext xmlns:x15="http://schemas.microsoft.com/office/spreadsheetml/2010/11/main" uri="{B97F6D7D-B522-45F9-BDA1-12C45D357490}">
          <x15:cacheHierarchy aggregatedColumn="2"/>
        </ext>
      </extLst>
    </cacheHierarchy>
    <cacheHierarchy uniqueName="[Measures].[Distinct Count of Country Code]" caption="Distinct Count of Country Code" measure="1" displayFolder="" measureGroup="Table1" count="0">
      <extLst>
        <ext xmlns:x15="http://schemas.microsoft.com/office/spreadsheetml/2010/11/main" uri="{B97F6D7D-B522-45F9-BDA1-12C45D357490}">
          <x15:cacheHierarchy aggregatedColumn="0"/>
        </ext>
      </extLst>
    </cacheHierarchy>
    <cacheHierarchy uniqueName="[Measures].[__XL_Count Table1]" caption="__XL_Count Table1" measure="1" displayFolder="" measureGroup="Table1" count="0" hidden="1"/>
    <cacheHierarchy uniqueName="[Measures].[__XL_Count of Models]" caption="__XL_Count of Models"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TEEADU" refreshedDate="46167.571082291666" backgroundQuery="1" createdVersion="3" refreshedVersion="5" minRefreshableVersion="3" recordCount="0" supportSubquery="1" supportAdvancedDrill="1">
  <cacheSource type="external" connectionId="1">
    <extLst>
      <ext xmlns:x14="http://schemas.microsoft.com/office/spreadsheetml/2009/9/main" uri="{F057638F-6D5F-4e77-A914-E7F072B9BCA8}">
        <x14:sourceConnection name="ThisWorkbookDataModel"/>
      </ext>
    </extLst>
  </cacheSource>
  <cacheFields count="0"/>
  <cacheHierarchies count="13">
    <cacheHierarchy uniqueName="[Table1].[Country Code]" caption="Country Code" attribute="1" defaultMemberUniqueName="[Table1].[Country Code].[All]" allUniqueName="[Table1].[Country Cod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IncomeGroup]" caption="IncomeGroup" attribute="1" defaultMemberUniqueName="[Table1].[IncomeGroup].[All]" allUniqueName="[Table1].[IncomeGroup].[All]" dimensionUniqueName="[Table1]" displayFolder="" count="2" memberValueDatatype="130" unbalanced="0"/>
    <cacheHierarchy uniqueName="[Table1].[SpecialNotes]" caption="SpecialNotes" attribute="1" defaultMemberUniqueName="[Table1].[SpecialNotes].[All]" allUniqueName="[Table1].[SpecialNotes].[All]" dimensionUniqueName="[Table1]" displayFolder="" count="0" memberValueDatatype="130" unbalanced="0"/>
    <cacheHierarchy uniqueName="[Table1].[TableName]" caption="TableName" attribute="1" defaultMemberUniqueName="[Table1].[TableName].[All]" allUniqueName="[Table1].[TableName].[All]" dimensionUniqueName="[Table1]" displayFolder="" count="0" memberValueDatatype="130" unbalanced="0"/>
    <cacheHierarchy uniqueName="[Measures].[Count of Region]" caption="Count of Region" measure="1" displayFolder="" measureGroup="Table1" count="0">
      <extLst>
        <ext xmlns:x15="http://schemas.microsoft.com/office/spreadsheetml/2010/11/main" uri="{B97F6D7D-B522-45F9-BDA1-12C45D357490}">
          <x15:cacheHierarchy aggregatedColumn="1"/>
        </ext>
      </extLst>
    </cacheHierarchy>
    <cacheHierarchy uniqueName="[Measures].[Distinct Count of Region]" caption="Distinct Count of Region" measure="1" displayFolder="" measureGroup="Table1" count="0">
      <extLst>
        <ext xmlns:x15="http://schemas.microsoft.com/office/spreadsheetml/2010/11/main" uri="{B97F6D7D-B522-45F9-BDA1-12C45D357490}">
          <x15:cacheHierarchy aggregatedColumn="1"/>
        </ext>
      </extLst>
    </cacheHierarchy>
    <cacheHierarchy uniqueName="[Measures].[Count of Country Code]" caption="Count of Country Code" measure="1" displayFolder="" measureGroup="Table1" count="0">
      <extLst>
        <ext xmlns:x15="http://schemas.microsoft.com/office/spreadsheetml/2010/11/main" uri="{B97F6D7D-B522-45F9-BDA1-12C45D357490}">
          <x15:cacheHierarchy aggregatedColumn="0"/>
        </ext>
      </extLst>
    </cacheHierarchy>
    <cacheHierarchy uniqueName="[Measures].[Count of IncomeGroup]" caption="Count of IncomeGroup" measure="1" displayFolder="" measureGroup="Table1" count="0">
      <extLst>
        <ext xmlns:x15="http://schemas.microsoft.com/office/spreadsheetml/2010/11/main" uri="{B97F6D7D-B522-45F9-BDA1-12C45D357490}">
          <x15:cacheHierarchy aggregatedColumn="2"/>
        </ext>
      </extLst>
    </cacheHierarchy>
    <cacheHierarchy uniqueName="[Measures].[Distinct Count of IncomeGroup]" caption="Distinct Count of IncomeGroup" measure="1" displayFolder="" measureGroup="Table1" count="0">
      <extLst>
        <ext xmlns:x15="http://schemas.microsoft.com/office/spreadsheetml/2010/11/main" uri="{B97F6D7D-B522-45F9-BDA1-12C45D357490}">
          <x15:cacheHierarchy aggregatedColumn="2"/>
        </ext>
      </extLst>
    </cacheHierarchy>
    <cacheHierarchy uniqueName="[Measures].[Distinct Count of Country Code]" caption="Distinct Count of Country Code" measure="1" displayFolder="" measureGroup="Table1" count="0">
      <extLst>
        <ext xmlns:x15="http://schemas.microsoft.com/office/spreadsheetml/2010/11/main" uri="{B97F6D7D-B522-45F9-BDA1-12C45D357490}">
          <x15:cacheHierarchy aggregatedColumn="0"/>
        </ext>
      </extLst>
    </cacheHierarchy>
    <cacheHierarchy uniqueName="[Measures].[__XL_Count Table1]" caption="__XL_Count Table1" measure="1" displayFolder="" measureGroup="Table1" count="0" hidden="1"/>
    <cacheHierarchy uniqueName="[Measures].[__XL_Count of Models]" caption="__XL_Count of Models" measure="1" displayFolder="" count="0" hidden="1"/>
  </cacheHierarchies>
  <kpis count="0"/>
  <extLst>
    <ext xmlns:x14="http://schemas.microsoft.com/office/spreadsheetml/2009/9/main" uri="{725AE2AE-9491-48be-B2B4-4EB974FC3084}">
      <x14:pivotCacheDefinition slicerData="1" pivotCacheId="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name="PivotTable11" cacheId="1" applyNumberFormats="0" applyBorderFormats="0" applyFontFormats="0" applyPatternFormats="0" applyAlignmentFormats="0" applyWidthHeightFormats="1" dataCaption="Values" updatedVersion="5" minRefreshableVersion="3" useAutoFormatting="1" subtotalHiddenItems="1" itemPrintTitles="1" createdVersion="5" indent="0" outline="1" outlineData="1" multipleFieldFilters="0" chartFormat="12">
  <location ref="O31:U41" firstHeaderRow="1" firstDataRow="2" firstDataCol="1"/>
  <pivotFields count="3">
    <pivotField axis="axisCol" allDrilled="1" showAll="0" defaultAttributeDrillState="1">
      <items count="6">
        <item x="0"/>
        <item x="4"/>
        <item x="2"/>
        <item x="1"/>
        <item x="3"/>
        <item t="default"/>
      </items>
    </pivotField>
    <pivotField axis="axisRow" allDrilled="1" showAll="0" sortType="descending" defaultAttributeDrillState="1">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dataField="1" showAll="0"/>
  </pivotFields>
  <rowFields count="1">
    <field x="1"/>
  </rowFields>
  <rowItems count="9">
    <i>
      <x v="1"/>
    </i>
    <i>
      <x v="7"/>
    </i>
    <i>
      <x v="5"/>
    </i>
    <i>
      <x v="2"/>
    </i>
    <i>
      <x/>
    </i>
    <i>
      <x v="3"/>
    </i>
    <i>
      <x v="6"/>
    </i>
    <i>
      <x v="4"/>
    </i>
    <i t="grand">
      <x/>
    </i>
  </rowItems>
  <colFields count="1">
    <field x="0"/>
  </colFields>
  <colItems count="6">
    <i>
      <x/>
    </i>
    <i>
      <x v="1"/>
    </i>
    <i>
      <x v="2"/>
    </i>
    <i>
      <x v="3"/>
    </i>
    <i>
      <x v="4"/>
    </i>
    <i t="grand">
      <x/>
    </i>
  </colItems>
  <dataFields count="1">
    <dataField name="Countries" fld="2" subtotal="count" baseField="0" baseItem="0"/>
  </dataFields>
  <chartFormats count="25">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3"/>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4"/>
          </reference>
        </references>
      </pivotArea>
    </chartFormat>
    <chartFormat chart="0" format="4" series="1">
      <pivotArea type="data" outline="0" fieldPosition="0">
        <references count="2">
          <reference field="4294967294" count="1" selected="0">
            <x v="0"/>
          </reference>
          <reference field="0" count="1" selected="0">
            <x v="1"/>
          </reference>
        </references>
      </pivotArea>
    </chartFormat>
    <chartFormat chart="1" format="0" series="1">
      <pivotArea type="data" outline="0" fieldPosition="0">
        <references count="2">
          <reference field="4294967294" count="1" selected="0">
            <x v="0"/>
          </reference>
          <reference field="0" count="1" selected="0">
            <x v="3"/>
          </reference>
        </references>
      </pivotArea>
    </chartFormat>
    <chartFormat chart="1" format="1" series="1">
      <pivotArea type="data" outline="0" fieldPosition="0">
        <references count="2">
          <reference field="4294967294" count="1" selected="0">
            <x v="0"/>
          </reference>
          <reference field="0" count="1" selected="0">
            <x v="2"/>
          </reference>
        </references>
      </pivotArea>
    </chartFormat>
    <chartFormat chart="1" format="2" series="1">
      <pivotArea type="data" outline="0" fieldPosition="0">
        <references count="2">
          <reference field="4294967294" count="1" selected="0">
            <x v="0"/>
          </reference>
          <reference field="0" count="1" selected="0">
            <x v="4"/>
          </reference>
        </references>
      </pivotArea>
    </chartFormat>
    <chartFormat chart="1" format="3" series="1">
      <pivotArea type="data" outline="0" fieldPosition="0">
        <references count="2">
          <reference field="4294967294" count="1" selected="0">
            <x v="0"/>
          </reference>
          <reference field="0" count="1" selected="0">
            <x v="1"/>
          </reference>
        </references>
      </pivotArea>
    </chartFormat>
    <chartFormat chart="1" format="4" series="1">
      <pivotArea type="data" outline="0" fieldPosition="0">
        <references count="2">
          <reference field="4294967294" count="1" selected="0">
            <x v="0"/>
          </reference>
          <reference field="0" count="1" selected="0">
            <x v="0"/>
          </reference>
        </references>
      </pivotArea>
    </chartFormat>
    <chartFormat chart="5" format="10" series="1">
      <pivotArea type="data" outline="0" fieldPosition="0">
        <references count="2">
          <reference field="4294967294" count="1" selected="0">
            <x v="0"/>
          </reference>
          <reference field="0" count="1" selected="0">
            <x v="0"/>
          </reference>
        </references>
      </pivotArea>
    </chartFormat>
    <chartFormat chart="5" format="11" series="1">
      <pivotArea type="data" outline="0" fieldPosition="0">
        <references count="2">
          <reference field="4294967294" count="1" selected="0">
            <x v="0"/>
          </reference>
          <reference field="0" count="1" selected="0">
            <x v="1"/>
          </reference>
        </references>
      </pivotArea>
    </chartFormat>
    <chartFormat chart="5" format="12" series="1">
      <pivotArea type="data" outline="0" fieldPosition="0">
        <references count="2">
          <reference field="4294967294" count="1" selected="0">
            <x v="0"/>
          </reference>
          <reference field="0" count="1" selected="0">
            <x v="2"/>
          </reference>
        </references>
      </pivotArea>
    </chartFormat>
    <chartFormat chart="5" format="13" series="1">
      <pivotArea type="data" outline="0" fieldPosition="0">
        <references count="2">
          <reference field="4294967294" count="1" selected="0">
            <x v="0"/>
          </reference>
          <reference field="0" count="1" selected="0">
            <x v="3"/>
          </reference>
        </references>
      </pivotArea>
    </chartFormat>
    <chartFormat chart="5" format="14" series="1">
      <pivotArea type="data" outline="0" fieldPosition="0">
        <references count="2">
          <reference field="4294967294" count="1" selected="0">
            <x v="0"/>
          </reference>
          <reference field="0" count="1" selected="0">
            <x v="4"/>
          </reference>
        </references>
      </pivotArea>
    </chartFormat>
    <chartFormat chart="8" format="0" series="1">
      <pivotArea type="data" outline="0" fieldPosition="0">
        <references count="2">
          <reference field="4294967294" count="1" selected="0">
            <x v="0"/>
          </reference>
          <reference field="0" count="1" selected="0">
            <x v="0"/>
          </reference>
        </references>
      </pivotArea>
    </chartFormat>
    <chartFormat chart="8" format="1" series="1">
      <pivotArea type="data" outline="0" fieldPosition="0">
        <references count="2">
          <reference field="4294967294" count="1" selected="0">
            <x v="0"/>
          </reference>
          <reference field="0" count="1" selected="0">
            <x v="1"/>
          </reference>
        </references>
      </pivotArea>
    </chartFormat>
    <chartFormat chart="8" format="2" series="1">
      <pivotArea type="data" outline="0" fieldPosition="0">
        <references count="2">
          <reference field="4294967294" count="1" selected="0">
            <x v="0"/>
          </reference>
          <reference field="0" count="1" selected="0">
            <x v="2"/>
          </reference>
        </references>
      </pivotArea>
    </chartFormat>
    <chartFormat chart="8" format="3" series="1">
      <pivotArea type="data" outline="0" fieldPosition="0">
        <references count="2">
          <reference field="4294967294" count="1" selected="0">
            <x v="0"/>
          </reference>
          <reference field="0" count="1" selected="0">
            <x v="3"/>
          </reference>
        </references>
      </pivotArea>
    </chartFormat>
    <chartFormat chart="8" format="4" series="1">
      <pivotArea type="data" outline="0" fieldPosition="0">
        <references count="2">
          <reference field="4294967294" count="1" selected="0">
            <x v="0"/>
          </reference>
          <reference field="0" count="1" selected="0">
            <x v="4"/>
          </reference>
        </references>
      </pivotArea>
    </chartFormat>
    <chartFormat chart="11" format="10" series="1">
      <pivotArea type="data" outline="0" fieldPosition="0">
        <references count="2">
          <reference field="4294967294" count="1" selected="0">
            <x v="0"/>
          </reference>
          <reference field="0" count="1" selected="0">
            <x v="0"/>
          </reference>
        </references>
      </pivotArea>
    </chartFormat>
    <chartFormat chart="11" format="11" series="1">
      <pivotArea type="data" outline="0" fieldPosition="0">
        <references count="2">
          <reference field="4294967294" count="1" selected="0">
            <x v="0"/>
          </reference>
          <reference field="0" count="1" selected="0">
            <x v="1"/>
          </reference>
        </references>
      </pivotArea>
    </chartFormat>
    <chartFormat chart="11" format="12" series="1">
      <pivotArea type="data" outline="0" fieldPosition="0">
        <references count="2">
          <reference field="4294967294" count="1" selected="0">
            <x v="0"/>
          </reference>
          <reference field="0" count="1" selected="0">
            <x v="2"/>
          </reference>
        </references>
      </pivotArea>
    </chartFormat>
    <chartFormat chart="11" format="13" series="1">
      <pivotArea type="data" outline="0" fieldPosition="0">
        <references count="2">
          <reference field="4294967294" count="1" selected="0">
            <x v="0"/>
          </reference>
          <reference field="0" count="1" selected="0">
            <x v="3"/>
          </reference>
        </references>
      </pivotArea>
    </chartFormat>
    <chartFormat chart="11" format="14" series="1">
      <pivotArea type="data" outline="0" fieldPosition="0">
        <references count="2">
          <reference field="4294967294" count="1" selected="0">
            <x v="0"/>
          </reference>
          <reference field="0" count="1" selected="0">
            <x v="4"/>
          </reference>
        </references>
      </pivotArea>
    </chartFormat>
  </chartFormats>
  <pivotHierarchies count="13">
    <pivotHierarchy dragToData="1"/>
    <pivotHierarchy multipleItemSelectionAllowed="1" dragToData="1"/>
    <pivotHierarchy multipleItemSelectionAllowed="1" dragToData="1"/>
    <pivotHierarchy dragToData="1"/>
    <pivotHierarchy dragToData="1"/>
    <pivotHierarchy dragToData="1"/>
    <pivotHierarchy dragToData="1"/>
    <pivotHierarchy dragToData="1" caption="Countries"/>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come group (incomplete) (version 1).xlsb!Table1">
        <x15:activeTabTopLevelEntity name="[Table1]"/>
      </x15:pivotTableUISettings>
    </ext>
  </extLst>
</pivotTableDefinition>
</file>

<file path=xl/pivotTables/pivotTable2.xml><?xml version="1.0" encoding="utf-8"?>
<pivotTableDefinition xmlns="http://schemas.openxmlformats.org/spreadsheetml/2006/main" name="PivotTable12" cacheId="4" applyNumberFormats="0" applyBorderFormats="0" applyFontFormats="0" applyPatternFormats="0" applyAlignmentFormats="0" applyWidthHeightFormats="1" dataCaption="Values" updatedVersion="5" minRefreshableVersion="3" useAutoFormatting="1" subtotalHiddenItems="1" itemPrintTitles="1" createdVersion="5" indent="0" outline="1" outlineData="1" multipleFieldFilters="0" chartFormat="5">
  <location ref="O43:P52" firstHeaderRow="1" firstDataRow="1" firstDataCol="1"/>
  <pivotFields count="2">
    <pivotField dataField="1" showAll="0"/>
    <pivotField axis="axisRow" allDrilled="1" showAll="0" sortType="descending" defaultAttributeDrillState="1">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s>
  <rowFields count="1">
    <field x="1"/>
  </rowFields>
  <rowItems count="9">
    <i>
      <x v="1"/>
    </i>
    <i>
      <x v="7"/>
    </i>
    <i>
      <x v="5"/>
    </i>
    <i>
      <x v="2"/>
    </i>
    <i>
      <x/>
    </i>
    <i>
      <x v="3"/>
    </i>
    <i>
      <x v="6"/>
    </i>
    <i>
      <x v="4"/>
    </i>
    <i t="grand">
      <x/>
    </i>
  </rowItems>
  <colItems count="1">
    <i/>
  </colItems>
  <dataFields count="1">
    <dataField name="Countries" fld="0" subtotal="count" baseField="1" baseItem="1">
      <extLst>
        <ext xmlns:x15="http://schemas.microsoft.com/office/spreadsheetml/2010/11/main" uri="{FABC7310-3BB5-11E1-824E-6D434824019B}">
          <x15:dataField isCountDistinct="1"/>
        </ext>
      </extLst>
    </dataField>
  </dataFields>
  <chartFormats count="1">
    <chartFormat chart="2" format="2" series="1">
      <pivotArea type="data" outline="0" fieldPosition="0">
        <references count="1">
          <reference field="4294967294" count="1" selected="0">
            <x v="0"/>
          </reference>
        </references>
      </pivotArea>
    </chartFormat>
  </chartFormats>
  <pivotHierarchies count="13">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come group (incomplete) (version 1).xlsb!Table1">
        <x15:activeTabTopLevelEntity name="[Table1]"/>
      </x15:pivotTableUISettings>
    </ext>
  </extLst>
</pivotTableDefinition>
</file>

<file path=xl/pivotTables/pivotTable3.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5" minRefreshableVersion="3" useAutoFormatting="1" subtotalHiddenItems="1" itemPrintTitles="1" createdVersion="5" indent="0" outline="1" outlineData="1" multipleFieldFilters="0">
  <location ref="O9:Q10" firstHeaderRow="0" firstDataRow="1" firstDataCol="0"/>
  <pivotFields count="4">
    <pivotField dataField="1" showAll="0"/>
    <pivotField dataField="1" showAll="0"/>
    <pivotField dataField="1" showAll="0"/>
    <pivotField allDrilled="1" showAll="0" dataSourceSort="1" defaultAttributeDrillState="1"/>
  </pivotFields>
  <rowItems count="1">
    <i/>
  </rowItems>
  <colFields count="1">
    <field x="-2"/>
  </colFields>
  <colItems count="3">
    <i>
      <x/>
    </i>
    <i i="1">
      <x v="1"/>
    </i>
    <i i="2">
      <x v="2"/>
    </i>
  </colItems>
  <dataFields count="3">
    <dataField name="Number of Regions" fld="0" subtotal="count" baseField="0" baseItem="1">
      <extLst>
        <ext xmlns:x15="http://schemas.microsoft.com/office/spreadsheetml/2010/11/main" uri="{FABC7310-3BB5-11E1-824E-6D434824019B}">
          <x15:dataField isCountDistinct="1"/>
        </ext>
      </extLst>
    </dataField>
    <dataField name="Number of Countries" fld="2" subtotal="count" baseField="0" baseItem="1">
      <extLst>
        <ext xmlns:x15="http://schemas.microsoft.com/office/spreadsheetml/2010/11/main" uri="{FABC7310-3BB5-11E1-824E-6D434824019B}">
          <x15:dataField isCountDistinct="1"/>
        </ext>
      </extLst>
    </dataField>
    <dataField name="Number of Income Groups" fld="1" subtotal="count" baseField="0" baseItem="2">
      <extLst>
        <ext xmlns:x15="http://schemas.microsoft.com/office/spreadsheetml/2010/11/main" uri="{FABC7310-3BB5-11E1-824E-6D434824019B}">
          <x15:dataField isCountDistinct="1"/>
        </ext>
      </extLst>
    </dataField>
  </dataFields>
  <pivotHierarchies count="13">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come group (incomplete) (version 1).xlsb!Table1">
        <x15:activeTabTopLevelEntity name="[Table1]"/>
      </x15:pivotTableUISettings>
    </ext>
  </extLst>
</pivotTableDefinition>
</file>

<file path=xl/pivotTables/pivotTable4.xml><?xml version="1.0" encoding="utf-8"?>
<pivotTableDefinition xmlns="http://schemas.openxmlformats.org/spreadsheetml/2006/main" name="PivotTable13" cacheId="2" applyNumberFormats="0" applyBorderFormats="0" applyFontFormats="0" applyPatternFormats="0" applyAlignmentFormats="0" applyWidthHeightFormats="1" dataCaption="Values" updatedVersion="5" minRefreshableVersion="3" useAutoFormatting="1" subtotalHiddenItems="1" itemPrintTitles="1" createdVersion="5" indent="0" outline="1" outlineData="1" multipleFieldFilters="0" chartFormat="8">
  <location ref="O58:P64" firstHeaderRow="1" firstDataRow="1" firstDataCol="1"/>
  <pivotFields count="2">
    <pivotField dataField="1" showAll="0"/>
    <pivotField axis="axisRow" allDrilled="1" showAll="0" dataSourceSort="1" defaultAttributeDrillState="1">
      <items count="6">
        <item x="0"/>
        <item x="1"/>
        <item x="2"/>
        <item x="3"/>
        <item x="4"/>
        <item t="default"/>
      </items>
    </pivotField>
  </pivotFields>
  <rowFields count="1">
    <field x="1"/>
  </rowFields>
  <rowItems count="6">
    <i>
      <x/>
    </i>
    <i>
      <x v="1"/>
    </i>
    <i>
      <x v="2"/>
    </i>
    <i>
      <x v="3"/>
    </i>
    <i>
      <x v="4"/>
    </i>
    <i t="grand">
      <x/>
    </i>
  </rowItems>
  <colItems count="1">
    <i/>
  </colItems>
  <dataFields count="1">
    <dataField name="Countries" fld="0" subtotal="count" baseField="1" baseItem="0">
      <extLst>
        <ext xmlns:x15="http://schemas.microsoft.com/office/spreadsheetml/2010/11/main" uri="{FABC7310-3BB5-11E1-824E-6D434824019B}">
          <x15:dataField isCountDistinct="1"/>
        </ext>
      </extLst>
    </dataField>
  </dataFields>
  <chartFormats count="24">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1" count="1" selected="0">
            <x v="0"/>
          </reference>
        </references>
      </pivotArea>
    </chartFormat>
    <chartFormat chart="2" format="9">
      <pivotArea type="data" outline="0" fieldPosition="0">
        <references count="2">
          <reference field="4294967294" count="1" selected="0">
            <x v="0"/>
          </reference>
          <reference field="1" count="1" selected="0">
            <x v="1"/>
          </reference>
        </references>
      </pivotArea>
    </chartFormat>
    <chartFormat chart="2" format="10">
      <pivotArea type="data" outline="0" fieldPosition="0">
        <references count="2">
          <reference field="4294967294" count="1" selected="0">
            <x v="0"/>
          </reference>
          <reference field="1" count="1" selected="0">
            <x v="2"/>
          </reference>
        </references>
      </pivotArea>
    </chartFormat>
    <chartFormat chart="2" format="11">
      <pivotArea type="data" outline="0" fieldPosition="0">
        <references count="2">
          <reference field="4294967294" count="1" selected="0">
            <x v="0"/>
          </reference>
          <reference field="1" count="1" selected="0">
            <x v="3"/>
          </reference>
        </references>
      </pivotArea>
    </chartFormat>
    <chartFormat chart="2" format="12">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1"/>
          </reference>
        </references>
      </pivotArea>
    </chartFormat>
    <chartFormat chart="0" format="7">
      <pivotArea type="data" outline="0" fieldPosition="0">
        <references count="2">
          <reference field="4294967294" count="1" selected="0">
            <x v="0"/>
          </reference>
          <reference field="1" count="1" selected="0">
            <x v="0"/>
          </reference>
        </references>
      </pivotArea>
    </chartFormat>
    <chartFormat chart="0" format="8">
      <pivotArea type="data" outline="0" fieldPosition="0">
        <references count="2">
          <reference field="4294967294" count="1" selected="0">
            <x v="0"/>
          </reference>
          <reference field="1" count="1" selected="0">
            <x v="2"/>
          </reference>
        </references>
      </pivotArea>
    </chartFormat>
    <chartFormat chart="0" format="9">
      <pivotArea type="data" outline="0" fieldPosition="0">
        <references count="2">
          <reference field="4294967294" count="1" selected="0">
            <x v="0"/>
          </reference>
          <reference field="1" count="1" selected="0">
            <x v="3"/>
          </reference>
        </references>
      </pivotArea>
    </chartFormat>
    <chartFormat chart="0" format="10">
      <pivotArea type="data" outline="0" fieldPosition="0">
        <references count="2">
          <reference field="4294967294" count="1" selected="0">
            <x v="0"/>
          </reference>
          <reference field="1" count="1" selected="0">
            <x v="4"/>
          </reference>
        </references>
      </pivotArea>
    </chartFormat>
    <chartFormat chart="3" format="0"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1" count="1" selected="0">
            <x v="0"/>
          </reference>
        </references>
      </pivotArea>
    </chartFormat>
    <chartFormat chart="6" format="9">
      <pivotArea type="data" outline="0" fieldPosition="0">
        <references count="2">
          <reference field="4294967294" count="1" selected="0">
            <x v="0"/>
          </reference>
          <reference field="1" count="1" selected="0">
            <x v="1"/>
          </reference>
        </references>
      </pivotArea>
    </chartFormat>
    <chartFormat chart="6" format="10">
      <pivotArea type="data" outline="0" fieldPosition="0">
        <references count="2">
          <reference field="4294967294" count="1" selected="0">
            <x v="0"/>
          </reference>
          <reference field="1" count="1" selected="0">
            <x v="2"/>
          </reference>
        </references>
      </pivotArea>
    </chartFormat>
    <chartFormat chart="6" format="11">
      <pivotArea type="data" outline="0" fieldPosition="0">
        <references count="2">
          <reference field="4294967294" count="1" selected="0">
            <x v="0"/>
          </reference>
          <reference field="1" count="1" selected="0">
            <x v="3"/>
          </reference>
        </references>
      </pivotArea>
    </chartFormat>
    <chartFormat chart="6" format="12">
      <pivotArea type="data" outline="0" fieldPosition="0">
        <references count="2">
          <reference field="4294967294" count="1" selected="0">
            <x v="0"/>
          </reference>
          <reference field="1" count="1" selected="0">
            <x v="4"/>
          </reference>
        </references>
      </pivotArea>
    </chartFormat>
    <chartFormat chart="3" format="2">
      <pivotArea type="data" outline="0" fieldPosition="0">
        <references count="2">
          <reference field="4294967294" count="1" selected="0">
            <x v="0"/>
          </reference>
          <reference field="1" count="1" selected="0">
            <x v="0"/>
          </reference>
        </references>
      </pivotArea>
    </chartFormat>
    <chartFormat chart="3" format="3">
      <pivotArea type="data" outline="0" fieldPosition="0">
        <references count="2">
          <reference field="4294967294" count="1" selected="0">
            <x v="0"/>
          </reference>
          <reference field="1" count="1" selected="0">
            <x v="1"/>
          </reference>
        </references>
      </pivotArea>
    </chartFormat>
    <chartFormat chart="3" format="4">
      <pivotArea type="data" outline="0" fieldPosition="0">
        <references count="2">
          <reference field="4294967294" count="1" selected="0">
            <x v="0"/>
          </reference>
          <reference field="1" count="1" selected="0">
            <x v="2"/>
          </reference>
        </references>
      </pivotArea>
    </chartFormat>
    <chartFormat chart="3" format="5">
      <pivotArea type="data" outline="0" fieldPosition="0">
        <references count="2">
          <reference field="4294967294" count="1" selected="0">
            <x v="0"/>
          </reference>
          <reference field="1" count="1" selected="0">
            <x v="3"/>
          </reference>
        </references>
      </pivotArea>
    </chartFormat>
    <chartFormat chart="3" format="6">
      <pivotArea type="data" outline="0" fieldPosition="0">
        <references count="2">
          <reference field="4294967294" count="1" selected="0">
            <x v="0"/>
          </reference>
          <reference field="1" count="1" selected="0">
            <x v="4"/>
          </reference>
        </references>
      </pivotArea>
    </chartFormat>
  </chartFormats>
  <pivotHierarchies count="13">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come group (incomplete) (version 1).xlsb!Table1">
        <x15:activeTabTopLevelEntity name="[Table1]"/>
      </x15:pivotTableUISettings>
    </ext>
  </extLst>
</pivotTableDefinition>
</file>

<file path=xl/pivotTables/pivotTable5.xml><?xml version="1.0" encoding="utf-8"?>
<pivotTableDefinition xmlns="http://schemas.openxmlformats.org/spreadsheetml/2006/main" name="PivotTable10" cacheId="3" applyNumberFormats="0" applyBorderFormats="0" applyFontFormats="0" applyPatternFormats="0" applyAlignmentFormats="0" applyWidthHeightFormats="1" dataCaption="Values" updatedVersion="5" minRefreshableVersion="3" useAutoFormatting="1" subtotalHiddenItems="1" itemPrintTitles="1" createdVersion="5" indent="0" outline="1" outlineData="1" multipleFieldFilters="0" chartFormat="19">
  <location ref="O17:U19" firstHeaderRow="1" firstDataRow="2" firstDataCol="1"/>
  <pivotFields count="2">
    <pivotField axis="axisCol" allDrilled="1" showAll="0" defaultAttributeDrillState="1">
      <items count="6">
        <item x="0"/>
        <item x="4"/>
        <item x="2"/>
        <item x="1"/>
        <item x="3"/>
        <item t="default"/>
      </items>
    </pivotField>
    <pivotField dataField="1" showAll="0"/>
  </pivotFields>
  <rowItems count="1">
    <i/>
  </rowItems>
  <colFields count="1">
    <field x="0"/>
  </colFields>
  <colItems count="6">
    <i>
      <x/>
    </i>
    <i>
      <x v="1"/>
    </i>
    <i>
      <x v="2"/>
    </i>
    <i>
      <x v="3"/>
    </i>
    <i>
      <x v="4"/>
    </i>
    <i t="grand">
      <x/>
    </i>
  </colItems>
  <dataFields count="1">
    <dataField name="Countries" fld="1" subtotal="count" baseField="0" baseItem="0"/>
  </dataFields>
  <chartFormats count="18">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0" format="4" series="1">
      <pivotArea type="data" outline="0" fieldPosition="0">
        <references count="2">
          <reference field="4294967294" count="1" selected="0">
            <x v="0"/>
          </reference>
          <reference field="0" count="1" selected="0">
            <x v="4"/>
          </reference>
        </references>
      </pivotArea>
    </chartFormat>
    <chartFormat chart="0" format="5"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5" format="0" series="1">
      <pivotArea type="data" outline="0" fieldPosition="0">
        <references count="2">
          <reference field="4294967294" count="1" selected="0">
            <x v="0"/>
          </reference>
          <reference field="0" count="1" selected="0">
            <x v="0"/>
          </reference>
        </references>
      </pivotArea>
    </chartFormat>
    <chartFormat chart="15" format="1" series="1">
      <pivotArea type="data" outline="0" fieldPosition="0">
        <references count="2">
          <reference field="4294967294" count="1" selected="0">
            <x v="0"/>
          </reference>
          <reference field="0" count="1" selected="0">
            <x v="1"/>
          </reference>
        </references>
      </pivotArea>
    </chartFormat>
    <chartFormat chart="15" format="2" series="1">
      <pivotArea type="data" outline="0" fieldPosition="0">
        <references count="2">
          <reference field="4294967294" count="1" selected="0">
            <x v="0"/>
          </reference>
          <reference field="0" count="1" selected="0">
            <x v="2"/>
          </reference>
        </references>
      </pivotArea>
    </chartFormat>
    <chartFormat chart="15" format="3" series="1">
      <pivotArea type="data" outline="0" fieldPosition="0">
        <references count="2">
          <reference field="4294967294" count="1" selected="0">
            <x v="0"/>
          </reference>
          <reference field="0" count="1" selected="0">
            <x v="3"/>
          </reference>
        </references>
      </pivotArea>
    </chartFormat>
    <chartFormat chart="15" format="4" series="1">
      <pivotArea type="data" outline="0" fieldPosition="0">
        <references count="2">
          <reference field="4294967294" count="1" selected="0">
            <x v="0"/>
          </reference>
          <reference field="0" count="1" selected="0">
            <x v="4"/>
          </reference>
        </references>
      </pivotArea>
    </chartFormat>
    <chartFormat chart="18" format="10" series="1">
      <pivotArea type="data" outline="0" fieldPosition="0">
        <references count="2">
          <reference field="4294967294" count="1" selected="0">
            <x v="0"/>
          </reference>
          <reference field="0" count="1" selected="0">
            <x v="0"/>
          </reference>
        </references>
      </pivotArea>
    </chartFormat>
    <chartFormat chart="18" format="11" series="1">
      <pivotArea type="data" outline="0" fieldPosition="0">
        <references count="2">
          <reference field="4294967294" count="1" selected="0">
            <x v="0"/>
          </reference>
          <reference field="0" count="1" selected="0">
            <x v="1"/>
          </reference>
        </references>
      </pivotArea>
    </chartFormat>
    <chartFormat chart="18" format="12" series="1">
      <pivotArea type="data" outline="0" fieldPosition="0">
        <references count="2">
          <reference field="4294967294" count="1" selected="0">
            <x v="0"/>
          </reference>
          <reference field="0" count="1" selected="0">
            <x v="2"/>
          </reference>
        </references>
      </pivotArea>
    </chartFormat>
    <chartFormat chart="18" format="13" series="1">
      <pivotArea type="data" outline="0" fieldPosition="0">
        <references count="2">
          <reference field="4294967294" count="1" selected="0">
            <x v="0"/>
          </reference>
          <reference field="0" count="1" selected="0">
            <x v="3"/>
          </reference>
        </references>
      </pivotArea>
    </chartFormat>
    <chartFormat chart="18" format="14" series="1">
      <pivotArea type="data" outline="0" fieldPosition="0">
        <references count="2">
          <reference field="4294967294" count="1" selected="0">
            <x v="0"/>
          </reference>
          <reference field="0" count="1" selected="0">
            <x v="4"/>
          </reference>
        </references>
      </pivotArea>
    </chartFormat>
  </chartFormats>
  <pivotHierarchies count="13">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come group (incomplete) (version 1).xlsb!Table1">
        <x15:activeTabTopLevelEntity name="[Table1]"/>
      </x15:pivotTableUISettings>
    </ext>
  </extLst>
</pivotTableDefinition>
</file>

<file path=xl/pivotTables/pivotTable6.xml><?xml version="1.0" encoding="utf-8"?>
<pivotTableDefinition xmlns="http://schemas.openxmlformats.org/spreadsheetml/2006/main" name="PivotTable1" cacheId="5" applyNumberFormats="0" applyBorderFormats="0" applyFontFormats="0" applyPatternFormats="0" applyAlignmentFormats="0" applyWidthHeightFormats="1" dataCaption="Values" updatedVersion="5" minRefreshableVersion="3" useAutoFormatting="1" subtotalHiddenItems="1" itemPrintTitles="1" createdVersion="5" indent="0" outline="1" outlineData="1" multipleFieldFilters="0" chartFormat="15">
  <location ref="R44:S50" firstHeaderRow="1" firstDataRow="1" firstDataCol="1"/>
  <pivotFields count="2">
    <pivotField axis="axisRow" allDrilled="1" showAll="0" defaultAttributeDrillState="1">
      <items count="6">
        <item x="0"/>
        <item x="4"/>
        <item x="2"/>
        <item x="1"/>
        <item x="3"/>
        <item t="default"/>
      </items>
    </pivotField>
    <pivotField dataField="1" showAll="0"/>
  </pivotFields>
  <rowFields count="1">
    <field x="0"/>
  </rowFields>
  <rowItems count="6">
    <i>
      <x/>
    </i>
    <i>
      <x v="1"/>
    </i>
    <i>
      <x v="2"/>
    </i>
    <i>
      <x v="3"/>
    </i>
    <i>
      <x v="4"/>
    </i>
    <i t="grand">
      <x/>
    </i>
  </rowItems>
  <colItems count="1">
    <i/>
  </colItems>
  <dataFields count="1">
    <dataField name="Countries" fld="1" subtotal="count" baseField="0" baseItem="0"/>
  </dataFields>
  <chartFormats count="10">
    <chartFormat chart="3" format="10" series="1">
      <pivotArea type="data" outline="0" fieldPosition="0">
        <references count="2">
          <reference field="4294967294" count="1" selected="0">
            <x v="0"/>
          </reference>
          <reference field="0" count="1" selected="0">
            <x v="0"/>
          </reference>
        </references>
      </pivotArea>
    </chartFormat>
    <chartFormat chart="3" format="11" series="1">
      <pivotArea type="data" outline="0" fieldPosition="0">
        <references count="2">
          <reference field="4294967294" count="1" selected="0">
            <x v="0"/>
          </reference>
          <reference field="0" count="1" selected="0">
            <x v="1"/>
          </reference>
        </references>
      </pivotArea>
    </chartFormat>
    <chartFormat chart="3" format="12" series="1">
      <pivotArea type="data" outline="0" fieldPosition="0">
        <references count="2">
          <reference field="4294967294" count="1" selected="0">
            <x v="0"/>
          </reference>
          <reference field="0" count="1" selected="0">
            <x v="2"/>
          </reference>
        </references>
      </pivotArea>
    </chartFormat>
    <chartFormat chart="3" format="13" series="1">
      <pivotArea type="data" outline="0" fieldPosition="0">
        <references count="2">
          <reference field="4294967294" count="1" selected="0">
            <x v="0"/>
          </reference>
          <reference field="0" count="1" selected="0">
            <x v="3"/>
          </reference>
        </references>
      </pivotArea>
    </chartFormat>
    <chartFormat chart="3" format="14" series="1">
      <pivotArea type="data" outline="0" fieldPosition="0">
        <references count="2">
          <reference field="4294967294" count="1" selected="0">
            <x v="0"/>
          </reference>
          <reference field="0" count="1" selected="0">
            <x v="4"/>
          </reference>
        </references>
      </pivotArea>
    </chartFormat>
    <chartFormat chart="3" format="15"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15" series="1">
      <pivotArea type="data" outline="0" fieldPosition="0">
        <references count="1">
          <reference field="4294967294" count="1" selected="0">
            <x v="0"/>
          </reference>
        </references>
      </pivotArea>
    </chartFormat>
    <chartFormat chart="18" format="15" series="1">
      <pivotArea type="data" outline="0" fieldPosition="0">
        <references count="1">
          <reference field="4294967294" count="1" selected="0">
            <x v="0"/>
          </reference>
        </references>
      </pivotArea>
    </chartFormat>
  </chartFormats>
  <pivotHierarchies count="13">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come group (incomplete) (version 1).xlsb!Table1">
        <x15:activeTabTopLevelEntity name="[Table1]"/>
      </x15:pivotTableUISettings>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IncomeGroup1" sourceName="[Table1].[IncomeGroup]">
  <pivotTables>
    <pivotTable tabId="2" name="PivotTable7"/>
    <pivotTable tabId="2" name="PivotTable10"/>
    <pivotTable tabId="2" name="PivotTable11"/>
    <pivotTable tabId="2" name="PivotTable12"/>
    <pivotTable tabId="2" name="PivotTable13"/>
    <pivotTable tabId="2" name="PivotTable1"/>
  </pivotTables>
  <data>
    <olap pivotCacheId="2">
      <levels count="2">
        <level uniqueName="[Table1].[IncomeGroup].[(All)]" sourceCaption="(All)" count="0"/>
        <level uniqueName="[Table1].[IncomeGroup].[IncomeGroup]" sourceCaption="IncomeGroup" count="5">
          <ranges>
            <range startItem="0">
              <i n="[Table1].[IncomeGroup].&amp;[High income]" c="High income"/>
              <i n="[Table1].[IncomeGroup].&amp;[Low income]" c="Low income"/>
              <i n="[Table1].[IncomeGroup].&amp;[Lower middle income]" c="Lower middle income"/>
              <i n="[Table1].[IncomeGroup].&amp;[Not specified]" c="Not specified"/>
              <i n="[Table1].[IncomeGroup].&amp;[Upper middle income]" c="Upper middle income"/>
            </range>
          </ranges>
        </level>
      </levels>
      <selections count="1">
        <selection n="[Table1].[IncomeGroup].[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1" sourceName="[Table1].[Region]">
  <pivotTables>
    <pivotTable tabId="2" name="PivotTable7"/>
    <pivotTable tabId="2" name="PivotTable10"/>
    <pivotTable tabId="2" name="PivotTable11"/>
    <pivotTable tabId="2" name="PivotTable12"/>
    <pivotTable tabId="2" name="PivotTable13"/>
    <pivotTable tabId="2" name="PivotTable1"/>
  </pivotTables>
  <data>
    <olap pivotCacheId="2">
      <levels count="2">
        <level uniqueName="[Table1].[Region].[(All)]" sourceCaption="(All)" count="0"/>
        <level uniqueName="[Table1].[Region].[Region]" sourceCaption="Region" count="8">
          <ranges>
            <range startItem="0">
              <i n="[Table1].[Region].&amp;[East Asia &amp; Pacific]" c="East Asia &amp; Pacific"/>
              <i n="[Table1].[Region].&amp;[Europe &amp; Central Asia]" c="Europe &amp; Central Asia"/>
              <i n="[Table1].[Region].&amp;[Latin America &amp; Caribbean]" c="Latin America &amp; Caribbean"/>
              <i n="[Table1].[Region].&amp;[Middle East, North Africa, Afghanistan &amp; Pakistan]" c="Middle East, North Africa, Afghanistan &amp; Pakistan"/>
              <i n="[Table1].[Region].&amp;[North America]" c="North America"/>
              <i n="[Table1].[Region].&amp;[Not specified]" c="Not specified"/>
              <i n="[Table1].[Region].&amp;[South Asia]" c="South Asia"/>
              <i n="[Table1].[Region].&amp;[Sub-Saharan Africa]" c="Sub-Saharan Africa"/>
            </range>
          </ranges>
        </level>
      </levels>
      <selections count="1">
        <selection n="[Table1].[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IncomeGroup 2" cache="Slicer_IncomeGroup1" caption="IncomeGroup" level="1" rowHeight="241300"/>
  <slicer name="Region 2" cache="Slicer_Region1" caption="Region" level="1"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IncomeGroup 3" cache="Slicer_IncomeGroup1" caption="IncomeGroup" level="1" rowHeight="241300"/>
  <slicer name="Region 3" cache="Slicer_Region1" caption="Region" level="1" rowHeight="241300"/>
</slicers>
</file>

<file path=xl/tables/table1.xml><?xml version="1.0" encoding="utf-8"?>
<table xmlns="http://schemas.openxmlformats.org/spreadsheetml/2006/main" id="1" name="Table1" displayName="Table1" ref="A1:E266" totalsRowShown="0">
  <autoFilter ref="A1:E266"/>
  <tableColumns count="5">
    <tableColumn id="1" name="Country Code"/>
    <tableColumn id="2" name="Region"/>
    <tableColumn id="3" name="IncomeGroup"/>
    <tableColumn id="4" name="SpecialNotes"/>
    <tableColumn id="5" name="TableNam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71"/>
  <sheetViews>
    <sheetView topLeftCell="J1" zoomScale="70" zoomScaleNormal="70" workbookViewId="0">
      <selection activeCell="S44" sqref="S44"/>
    </sheetView>
  </sheetViews>
  <sheetFormatPr defaultRowHeight="15" x14ac:dyDescent="0.25"/>
  <cols>
    <col min="1" max="1" width="48.28515625" customWidth="1"/>
    <col min="2" max="2" width="12.5703125" customWidth="1"/>
    <col min="3" max="4" width="25.7109375" customWidth="1"/>
    <col min="5" max="5" width="15" customWidth="1"/>
    <col min="6" max="6" width="16.85546875" customWidth="1"/>
    <col min="7" max="7" width="15" customWidth="1"/>
    <col min="8" max="8" width="11.5703125" customWidth="1"/>
    <col min="9" max="9" width="20.42578125" customWidth="1"/>
    <col min="10" max="10" width="20.5703125" bestFit="1" customWidth="1"/>
    <col min="11" max="11" width="7.28515625" customWidth="1"/>
    <col min="12" max="12" width="11.28515625" bestFit="1" customWidth="1"/>
    <col min="15" max="15" width="48.28515625" customWidth="1"/>
    <col min="16" max="16" width="12.5703125" customWidth="1"/>
    <col min="17" max="17" width="25.7109375" customWidth="1"/>
    <col min="18" max="18" width="21.42578125" customWidth="1"/>
    <col min="19" max="19" width="12.5703125" customWidth="1"/>
    <col min="20" max="20" width="16.85546875" customWidth="1"/>
    <col min="21" max="21" width="15" customWidth="1"/>
    <col min="22" max="22" width="31.42578125" customWidth="1"/>
    <col min="23" max="24" width="31.42578125" bestFit="1" customWidth="1"/>
    <col min="25" max="25" width="38.140625" bestFit="1" customWidth="1"/>
    <col min="26" max="26" width="34.42578125" bestFit="1" customWidth="1"/>
  </cols>
  <sheetData>
    <row r="1" spans="2:17" x14ac:dyDescent="0.25">
      <c r="B1" s="7"/>
    </row>
    <row r="2" spans="2:17" x14ac:dyDescent="0.25">
      <c r="B2" s="7"/>
      <c r="C2" s="7"/>
      <c r="D2" s="7"/>
      <c r="E2" s="7"/>
      <c r="F2" s="7"/>
      <c r="G2" s="7"/>
    </row>
    <row r="3" spans="2:17" x14ac:dyDescent="0.25">
      <c r="B3" s="4"/>
      <c r="C3" s="4"/>
      <c r="D3" s="4"/>
      <c r="E3" s="4"/>
      <c r="F3" s="4"/>
      <c r="G3" s="4"/>
    </row>
    <row r="5" spans="2:17" x14ac:dyDescent="0.25">
      <c r="D5" s="4"/>
      <c r="E5" s="4"/>
      <c r="F5" s="4"/>
      <c r="G5" s="4"/>
    </row>
    <row r="6" spans="2:17" x14ac:dyDescent="0.25">
      <c r="D6" s="4"/>
      <c r="E6" s="4"/>
      <c r="F6" s="4"/>
      <c r="G6" s="4"/>
    </row>
    <row r="7" spans="2:17" x14ac:dyDescent="0.25">
      <c r="D7" s="4"/>
      <c r="E7" s="4"/>
      <c r="F7" s="4"/>
      <c r="G7" s="4"/>
    </row>
    <row r="8" spans="2:17" x14ac:dyDescent="0.25">
      <c r="D8" s="4"/>
      <c r="E8" s="4"/>
      <c r="F8" s="4"/>
      <c r="G8" s="4"/>
    </row>
    <row r="9" spans="2:17" x14ac:dyDescent="0.25">
      <c r="D9" s="4"/>
      <c r="E9" s="4"/>
      <c r="F9" s="4"/>
      <c r="G9" s="4"/>
      <c r="O9" s="7" t="s">
        <v>659</v>
      </c>
      <c r="P9" s="7" t="s">
        <v>660</v>
      </c>
      <c r="Q9" s="7" t="s">
        <v>661</v>
      </c>
    </row>
    <row r="10" spans="2:17" x14ac:dyDescent="0.25">
      <c r="D10" s="4"/>
      <c r="E10" s="4"/>
      <c r="F10" s="4"/>
      <c r="G10" s="4"/>
      <c r="O10" s="4">
        <v>8</v>
      </c>
      <c r="P10" s="4">
        <v>265</v>
      </c>
      <c r="Q10" s="4">
        <v>5</v>
      </c>
    </row>
    <row r="11" spans="2:17" x14ac:dyDescent="0.25">
      <c r="D11" s="4"/>
      <c r="E11" s="4"/>
      <c r="F11" s="4"/>
      <c r="G11" s="4"/>
    </row>
    <row r="12" spans="2:17" x14ac:dyDescent="0.25">
      <c r="D12" s="4"/>
      <c r="E12" s="4"/>
      <c r="F12" s="4"/>
      <c r="G12" s="4"/>
      <c r="O12">
        <f>GETPIVOTDATA("[Measures].[Distinct Count of Region]",$O$9)</f>
        <v>8</v>
      </c>
      <c r="P12">
        <f>GETPIVOTDATA("[Measures].[Distinct Count of Country Code]",$O$9)</f>
        <v>265</v>
      </c>
      <c r="Q12">
        <f>GETPIVOTDATA("[Measures].[Distinct Count of IncomeGroup]",$O$9)</f>
        <v>5</v>
      </c>
    </row>
    <row r="13" spans="2:17" x14ac:dyDescent="0.25">
      <c r="D13" s="4"/>
      <c r="E13" s="4"/>
      <c r="F13" s="4"/>
      <c r="G13" s="4"/>
    </row>
    <row r="17" spans="1:21" x14ac:dyDescent="0.25">
      <c r="A17" s="7"/>
      <c r="B17" s="7"/>
      <c r="P17" s="2" t="s">
        <v>652</v>
      </c>
    </row>
    <row r="18" spans="1:21" x14ac:dyDescent="0.25">
      <c r="A18" s="7"/>
      <c r="B18" s="7"/>
      <c r="C18" s="7"/>
      <c r="D18" s="7"/>
      <c r="E18" s="7"/>
      <c r="F18" s="7"/>
      <c r="G18" s="7"/>
      <c r="P18" s="7" t="s">
        <v>7</v>
      </c>
      <c r="Q18" s="7" t="s">
        <v>27</v>
      </c>
      <c r="R18" s="7" t="s">
        <v>22</v>
      </c>
      <c r="S18" s="7" t="s">
        <v>14</v>
      </c>
      <c r="T18" s="7" t="s">
        <v>654</v>
      </c>
      <c r="U18" s="7" t="s">
        <v>651</v>
      </c>
    </row>
    <row r="19" spans="1:21" x14ac:dyDescent="0.25">
      <c r="A19" s="3"/>
      <c r="B19" s="4"/>
      <c r="C19" s="4"/>
      <c r="D19" s="4"/>
      <c r="E19" s="4"/>
      <c r="F19" s="4"/>
      <c r="G19" s="4"/>
      <c r="O19" t="s">
        <v>655</v>
      </c>
      <c r="P19" s="4">
        <v>86</v>
      </c>
      <c r="Q19" s="4">
        <v>54</v>
      </c>
      <c r="R19" s="4">
        <v>50</v>
      </c>
      <c r="S19" s="4">
        <v>25</v>
      </c>
      <c r="T19" s="4">
        <v>50</v>
      </c>
      <c r="U19" s="4">
        <v>265</v>
      </c>
    </row>
    <row r="20" spans="1:21" x14ac:dyDescent="0.25">
      <c r="A20" s="3"/>
      <c r="B20" s="4"/>
      <c r="C20" s="4"/>
      <c r="D20" s="4"/>
      <c r="E20" s="4"/>
      <c r="F20" s="4"/>
      <c r="G20" s="4"/>
    </row>
    <row r="21" spans="1:21" x14ac:dyDescent="0.25">
      <c r="A21" s="3"/>
      <c r="B21" s="4"/>
      <c r="C21" s="4"/>
      <c r="D21" s="4"/>
      <c r="E21" s="4"/>
      <c r="F21" s="4"/>
      <c r="G21" s="4"/>
    </row>
    <row r="22" spans="1:21" x14ac:dyDescent="0.25">
      <c r="A22" s="3"/>
      <c r="B22" s="4"/>
      <c r="C22" s="4"/>
      <c r="D22" s="4"/>
      <c r="E22" s="4"/>
      <c r="F22" s="4"/>
      <c r="G22" s="4"/>
    </row>
    <row r="23" spans="1:21" x14ac:dyDescent="0.25">
      <c r="A23" s="3"/>
      <c r="B23" s="4"/>
      <c r="C23" s="4"/>
      <c r="D23" s="4"/>
      <c r="E23" s="4"/>
      <c r="F23" s="4"/>
      <c r="G23" s="4"/>
    </row>
    <row r="24" spans="1:21" x14ac:dyDescent="0.25">
      <c r="A24" s="3"/>
      <c r="B24" s="4"/>
      <c r="C24" s="4"/>
      <c r="D24" s="4"/>
      <c r="E24" s="4"/>
      <c r="F24" s="4"/>
      <c r="G24" s="4"/>
    </row>
    <row r="25" spans="1:21" x14ac:dyDescent="0.25">
      <c r="A25" s="3"/>
      <c r="B25" s="4"/>
      <c r="C25" s="4"/>
      <c r="D25" s="4"/>
      <c r="E25" s="4"/>
      <c r="F25" s="4"/>
      <c r="G25" s="4"/>
    </row>
    <row r="26" spans="1:21" x14ac:dyDescent="0.25">
      <c r="A26" s="3"/>
      <c r="B26" s="4"/>
      <c r="C26" s="4"/>
      <c r="D26" s="4"/>
      <c r="E26" s="4"/>
      <c r="F26" s="4"/>
      <c r="G26" s="4"/>
    </row>
    <row r="27" spans="1:21" x14ac:dyDescent="0.25">
      <c r="A27" s="3"/>
      <c r="B27" s="4"/>
      <c r="C27" s="4"/>
      <c r="D27" s="4"/>
      <c r="E27" s="4"/>
      <c r="F27" s="4"/>
      <c r="G27" s="4"/>
    </row>
    <row r="29" spans="1:21" x14ac:dyDescent="0.25">
      <c r="A29" s="7"/>
    </row>
    <row r="30" spans="1:21" x14ac:dyDescent="0.25">
      <c r="A30" s="3"/>
      <c r="B30" s="4"/>
    </row>
    <row r="31" spans="1:21" x14ac:dyDescent="0.25">
      <c r="A31" s="3"/>
      <c r="B31" s="4"/>
      <c r="O31" s="2" t="s">
        <v>655</v>
      </c>
      <c r="P31" s="2" t="s">
        <v>652</v>
      </c>
    </row>
    <row r="32" spans="1:21" x14ac:dyDescent="0.25">
      <c r="A32" s="3"/>
      <c r="B32" s="4"/>
      <c r="O32" s="2" t="s">
        <v>650</v>
      </c>
      <c r="P32" s="7" t="s">
        <v>7</v>
      </c>
      <c r="Q32" s="7" t="s">
        <v>27</v>
      </c>
      <c r="R32" s="7" t="s">
        <v>22</v>
      </c>
      <c r="S32" s="7" t="s">
        <v>14</v>
      </c>
      <c r="T32" s="7" t="s">
        <v>654</v>
      </c>
      <c r="U32" s="7" t="s">
        <v>651</v>
      </c>
    </row>
    <row r="33" spans="1:21" x14ac:dyDescent="0.25">
      <c r="A33" s="3"/>
      <c r="B33" s="4"/>
      <c r="O33" s="3" t="s">
        <v>26</v>
      </c>
      <c r="P33" s="4">
        <v>40</v>
      </c>
      <c r="Q33" s="4">
        <v>15</v>
      </c>
      <c r="R33" s="4">
        <v>3</v>
      </c>
      <c r="S33" s="4"/>
      <c r="T33" s="4"/>
      <c r="U33" s="4">
        <v>58</v>
      </c>
    </row>
    <row r="34" spans="1:21" x14ac:dyDescent="0.25">
      <c r="A34" s="3"/>
      <c r="B34" s="4"/>
      <c r="O34" s="3" t="s">
        <v>21</v>
      </c>
      <c r="P34" s="4">
        <v>1</v>
      </c>
      <c r="Q34" s="4">
        <v>6</v>
      </c>
      <c r="R34" s="4">
        <v>19</v>
      </c>
      <c r="S34" s="4">
        <v>21</v>
      </c>
      <c r="T34" s="4">
        <v>1</v>
      </c>
      <c r="U34" s="4">
        <v>48</v>
      </c>
    </row>
    <row r="35" spans="1:21" x14ac:dyDescent="0.25">
      <c r="A35" s="3"/>
      <c r="B35" s="4"/>
      <c r="O35" s="3" t="s">
        <v>654</v>
      </c>
      <c r="P35" s="4"/>
      <c r="Q35" s="4"/>
      <c r="R35" s="4"/>
      <c r="S35" s="4"/>
      <c r="T35" s="4">
        <v>48</v>
      </c>
      <c r="U35" s="4">
        <v>48</v>
      </c>
    </row>
    <row r="36" spans="1:21" x14ac:dyDescent="0.25">
      <c r="A36" s="3"/>
      <c r="B36" s="4"/>
      <c r="O36" s="3" t="s">
        <v>6</v>
      </c>
      <c r="P36" s="4">
        <v>19</v>
      </c>
      <c r="Q36" s="4">
        <v>18</v>
      </c>
      <c r="R36" s="4">
        <v>4</v>
      </c>
      <c r="S36" s="4"/>
      <c r="T36" s="4">
        <v>1</v>
      </c>
      <c r="U36" s="4">
        <v>42</v>
      </c>
    </row>
    <row r="37" spans="1:21" x14ac:dyDescent="0.25">
      <c r="A37" s="3"/>
      <c r="B37" s="4"/>
      <c r="O37" s="3" t="s">
        <v>42</v>
      </c>
      <c r="P37" s="4">
        <v>15</v>
      </c>
      <c r="Q37" s="4">
        <v>10</v>
      </c>
      <c r="R37" s="4">
        <v>11</v>
      </c>
      <c r="S37" s="4">
        <v>1</v>
      </c>
      <c r="T37" s="4"/>
      <c r="U37" s="4">
        <v>37</v>
      </c>
    </row>
    <row r="38" spans="1:21" x14ac:dyDescent="0.25">
      <c r="A38" s="3"/>
      <c r="B38" s="4"/>
      <c r="O38" s="3" t="s">
        <v>13</v>
      </c>
      <c r="P38" s="4">
        <v>8</v>
      </c>
      <c r="Q38" s="4">
        <v>4</v>
      </c>
      <c r="R38" s="4">
        <v>8</v>
      </c>
      <c r="S38" s="4">
        <v>3</v>
      </c>
      <c r="T38" s="4"/>
      <c r="U38" s="4">
        <v>23</v>
      </c>
    </row>
    <row r="39" spans="1:21" x14ac:dyDescent="0.25">
      <c r="O39" s="3" t="s">
        <v>64</v>
      </c>
      <c r="P39" s="4"/>
      <c r="Q39" s="4">
        <v>1</v>
      </c>
      <c r="R39" s="4">
        <v>5</v>
      </c>
      <c r="S39" s="4"/>
      <c r="T39" s="4"/>
      <c r="U39" s="4">
        <v>6</v>
      </c>
    </row>
    <row r="40" spans="1:21" x14ac:dyDescent="0.25">
      <c r="O40" s="3" t="s">
        <v>81</v>
      </c>
      <c r="P40" s="4">
        <v>3</v>
      </c>
      <c r="Q40" s="4"/>
      <c r="R40" s="4"/>
      <c r="S40" s="4"/>
      <c r="T40" s="4"/>
      <c r="U40" s="4">
        <v>3</v>
      </c>
    </row>
    <row r="41" spans="1:21" x14ac:dyDescent="0.25">
      <c r="A41" s="3" t="s">
        <v>662</v>
      </c>
      <c r="O41" s="3" t="s">
        <v>651</v>
      </c>
      <c r="P41" s="4">
        <v>86</v>
      </c>
      <c r="Q41" s="4">
        <v>54</v>
      </c>
      <c r="R41" s="4">
        <v>50</v>
      </c>
      <c r="S41" s="4">
        <v>25</v>
      </c>
      <c r="T41" s="4">
        <v>50</v>
      </c>
      <c r="U41" s="4">
        <v>265</v>
      </c>
    </row>
    <row r="43" spans="1:21" x14ac:dyDescent="0.25">
      <c r="A43" s="7"/>
      <c r="O43" s="2" t="s">
        <v>650</v>
      </c>
      <c r="P43" t="s">
        <v>655</v>
      </c>
    </row>
    <row r="44" spans="1:21" x14ac:dyDescent="0.25">
      <c r="A44" s="3"/>
      <c r="B44" s="4"/>
      <c r="O44" s="3" t="s">
        <v>26</v>
      </c>
      <c r="P44" s="4">
        <v>58</v>
      </c>
      <c r="R44" s="2" t="s">
        <v>650</v>
      </c>
      <c r="S44" t="s">
        <v>655</v>
      </c>
    </row>
    <row r="45" spans="1:21" x14ac:dyDescent="0.25">
      <c r="A45" s="3"/>
      <c r="B45" s="4"/>
      <c r="O45" s="3" t="s">
        <v>21</v>
      </c>
      <c r="P45" s="4">
        <v>48</v>
      </c>
      <c r="R45" s="3" t="s">
        <v>7</v>
      </c>
      <c r="S45" s="4">
        <v>86</v>
      </c>
    </row>
    <row r="46" spans="1:21" x14ac:dyDescent="0.25">
      <c r="A46" s="3"/>
      <c r="B46" s="4"/>
      <c r="O46" s="3" t="s">
        <v>654</v>
      </c>
      <c r="P46" s="4">
        <v>48</v>
      </c>
      <c r="R46" s="3" t="s">
        <v>27</v>
      </c>
      <c r="S46" s="4">
        <v>54</v>
      </c>
    </row>
    <row r="47" spans="1:21" x14ac:dyDescent="0.25">
      <c r="A47" s="3"/>
      <c r="B47" s="4"/>
      <c r="O47" s="3" t="s">
        <v>6</v>
      </c>
      <c r="P47" s="4">
        <v>42</v>
      </c>
      <c r="R47" s="3" t="s">
        <v>22</v>
      </c>
      <c r="S47" s="4">
        <v>50</v>
      </c>
    </row>
    <row r="48" spans="1:21" x14ac:dyDescent="0.25">
      <c r="A48" s="3"/>
      <c r="B48" s="4"/>
      <c r="O48" s="3" t="s">
        <v>42</v>
      </c>
      <c r="P48" s="4">
        <v>37</v>
      </c>
      <c r="R48" s="3" t="s">
        <v>14</v>
      </c>
      <c r="S48" s="4">
        <v>25</v>
      </c>
    </row>
    <row r="49" spans="1:19" x14ac:dyDescent="0.25">
      <c r="A49" s="3"/>
      <c r="B49" s="4"/>
      <c r="O49" s="3" t="s">
        <v>13</v>
      </c>
      <c r="P49" s="4">
        <v>23</v>
      </c>
      <c r="R49" s="3" t="s">
        <v>654</v>
      </c>
      <c r="S49" s="4">
        <v>50</v>
      </c>
    </row>
    <row r="50" spans="1:19" x14ac:dyDescent="0.25">
      <c r="O50" s="3" t="s">
        <v>64</v>
      </c>
      <c r="P50" s="4">
        <v>6</v>
      </c>
      <c r="R50" s="3" t="s">
        <v>651</v>
      </c>
      <c r="S50" s="4">
        <v>265</v>
      </c>
    </row>
    <row r="51" spans="1:19" x14ac:dyDescent="0.25">
      <c r="O51" s="3" t="s">
        <v>81</v>
      </c>
      <c r="P51" s="4">
        <v>3</v>
      </c>
    </row>
    <row r="52" spans="1:19" x14ac:dyDescent="0.25">
      <c r="O52" s="3" t="s">
        <v>651</v>
      </c>
      <c r="P52" s="4">
        <v>265</v>
      </c>
    </row>
    <row r="58" spans="1:19" x14ac:dyDescent="0.25">
      <c r="O58" s="2" t="s">
        <v>650</v>
      </c>
      <c r="P58" t="s">
        <v>655</v>
      </c>
    </row>
    <row r="59" spans="1:19" x14ac:dyDescent="0.25">
      <c r="O59" s="3" t="s">
        <v>7</v>
      </c>
      <c r="P59" s="4">
        <v>86</v>
      </c>
    </row>
    <row r="60" spans="1:19" x14ac:dyDescent="0.25">
      <c r="O60" s="3" t="s">
        <v>14</v>
      </c>
      <c r="P60" s="4">
        <v>25</v>
      </c>
    </row>
    <row r="61" spans="1:19" x14ac:dyDescent="0.25">
      <c r="O61" s="3" t="s">
        <v>22</v>
      </c>
      <c r="P61" s="4">
        <v>50</v>
      </c>
    </row>
    <row r="62" spans="1:19" x14ac:dyDescent="0.25">
      <c r="O62" s="3" t="s">
        <v>654</v>
      </c>
      <c r="P62" s="4">
        <v>50</v>
      </c>
    </row>
    <row r="63" spans="1:19" x14ac:dyDescent="0.25">
      <c r="O63" s="3" t="s">
        <v>27</v>
      </c>
      <c r="P63" s="4">
        <v>54</v>
      </c>
    </row>
    <row r="64" spans="1:19" x14ac:dyDescent="0.25">
      <c r="O64" s="3" t="s">
        <v>651</v>
      </c>
      <c r="P64" s="4">
        <v>265</v>
      </c>
    </row>
    <row r="65" spans="1:4" x14ac:dyDescent="0.25">
      <c r="A65" s="3"/>
      <c r="B65" s="4"/>
      <c r="D65" t="e">
        <f>GETPIVOTDATA("Country Code",$A$64,"IncomeGroup","High income")</f>
        <v>#REF!</v>
      </c>
    </row>
    <row r="66" spans="1:4" x14ac:dyDescent="0.25">
      <c r="A66" s="3"/>
      <c r="B66" s="4"/>
    </row>
    <row r="67" spans="1:4" x14ac:dyDescent="0.25">
      <c r="A67" s="3"/>
      <c r="B67" s="4"/>
    </row>
    <row r="68" spans="1:4" x14ac:dyDescent="0.25">
      <c r="A68" s="3"/>
      <c r="B68" s="4"/>
    </row>
    <row r="69" spans="1:4" x14ac:dyDescent="0.25">
      <c r="A69" s="3"/>
      <c r="B69" s="4"/>
    </row>
    <row r="70" spans="1:4" x14ac:dyDescent="0.25">
      <c r="A70" s="3"/>
      <c r="B70" s="4"/>
    </row>
    <row r="71" spans="1:4" x14ac:dyDescent="0.25">
      <c r="D71" t="e">
        <f>GETPIVOTDATA("Country Code",$A$64)</f>
        <v>#REF!</v>
      </c>
    </row>
  </sheetData>
  <pageMargins left="0.7" right="0.7" top="0.75" bottom="0.75" header="0.3" footer="0.3"/>
  <drawing r:id="rId7"/>
  <extLst>
    <ext xmlns:x14="http://schemas.microsoft.com/office/spreadsheetml/2009/9/main" uri="{05C60535-1F16-4fd2-B633-F4F36F0B64E0}">
      <x14:sparklineGroups xmlns:xm="http://schemas.microsoft.com/office/excel/2006/main">
        <x14:sparklineGroup manualMax="0" manualMin="0" type="column" displayEmptyCellsAs="gap" high="1">
          <x14:colorSeries rgb="FF376092"/>
          <x14:colorNegative rgb="FFD00000"/>
          <x14:colorAxis rgb="FF000000"/>
          <x14:colorMarkers rgb="FFD00000"/>
          <x14:colorFirst rgb="FFD00000"/>
          <x14:colorLast rgb="FFD00000"/>
          <x14:colorHigh rgb="FFD00000"/>
          <x14:colorLow rgb="FFD00000"/>
          <x14:sparklines>
            <x14:sparkline>
              <xm:f>'Pivot Table'!B65:B69</xm:f>
              <xm:sqref>C72</xm:sqref>
            </x14:sparkline>
          </x14:sparklines>
        </x14:sparklineGroup>
      </x14:sparklineGroups>
    </ext>
    <ext xmlns:x14="http://schemas.microsoft.com/office/spreadsheetml/2009/9/main" uri="{A8765BA9-456A-4dab-B4F3-ACF838C121DE}">
      <x14:slicerList>
        <x14:slicer r:id="rId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0:AA30"/>
  <sheetViews>
    <sheetView tabSelected="1" zoomScale="85" zoomScaleNormal="85" workbookViewId="0">
      <selection activeCell="H6" sqref="H6"/>
    </sheetView>
  </sheetViews>
  <sheetFormatPr defaultRowHeight="15" x14ac:dyDescent="0.25"/>
  <cols>
    <col min="1" max="1" width="9.140625" style="5" customWidth="1"/>
    <col min="4" max="4" width="2.85546875" customWidth="1"/>
    <col min="11" max="11" width="3.85546875" customWidth="1"/>
    <col min="12" max="12" width="4.7109375" customWidth="1"/>
    <col min="14" max="14" width="4.5703125" customWidth="1"/>
    <col min="20" max="20" width="9" customWidth="1"/>
    <col min="21" max="21" width="3.85546875" customWidth="1"/>
  </cols>
  <sheetData>
    <row r="10" spans="5:27" x14ac:dyDescent="0.25">
      <c r="X10" s="8"/>
      <c r="Y10" s="8"/>
    </row>
    <row r="12" spans="5:27" x14ac:dyDescent="0.25">
      <c r="E12" s="9" t="s">
        <v>656</v>
      </c>
      <c r="F12" s="9"/>
      <c r="G12" s="9"/>
      <c r="H12" s="9"/>
      <c r="I12" s="9"/>
      <c r="J12" s="9"/>
      <c r="K12" s="8"/>
      <c r="L12" s="9" t="s">
        <v>657</v>
      </c>
      <c r="M12" s="9"/>
      <c r="N12" s="9"/>
      <c r="O12" s="9"/>
      <c r="P12" s="9"/>
      <c r="Q12" s="9"/>
      <c r="R12" s="9"/>
      <c r="S12" s="9"/>
      <c r="T12" s="9"/>
      <c r="V12" s="9" t="s">
        <v>658</v>
      </c>
      <c r="W12" s="9"/>
      <c r="X12" s="9"/>
      <c r="Y12" s="9"/>
      <c r="Z12" s="9"/>
      <c r="AA12" s="9"/>
    </row>
    <row r="13" spans="5:27" x14ac:dyDescent="0.25">
      <c r="E13" s="7"/>
      <c r="F13" s="7"/>
      <c r="G13" s="7"/>
      <c r="H13" s="7"/>
      <c r="I13" s="7"/>
      <c r="J13" s="7"/>
      <c r="K13" s="7"/>
      <c r="L13" s="7"/>
    </row>
    <row r="15" spans="5:27" x14ac:dyDescent="0.25">
      <c r="L15" s="6"/>
      <c r="M15" s="6"/>
      <c r="N15" s="6"/>
      <c r="O15" s="6"/>
      <c r="P15" s="6"/>
      <c r="Q15" s="6"/>
      <c r="R15" s="6"/>
      <c r="S15" s="6"/>
    </row>
    <row r="16" spans="5:27" x14ac:dyDescent="0.25">
      <c r="H16" s="6"/>
    </row>
    <row r="25" spans="13:20" x14ac:dyDescent="0.25">
      <c r="T25" s="8"/>
    </row>
    <row r="30" spans="13:20" x14ac:dyDescent="0.25">
      <c r="M30" s="8"/>
      <c r="N30" s="8"/>
      <c r="O30" s="8"/>
      <c r="P30" s="8"/>
      <c r="Q30" s="8"/>
      <c r="R30" s="8"/>
      <c r="S30" s="8"/>
    </row>
  </sheetData>
  <mergeCells count="3">
    <mergeCell ref="V12:AA12"/>
    <mergeCell ref="E12:J12"/>
    <mergeCell ref="L12:T1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66"/>
  <sheetViews>
    <sheetView workbookViewId="0">
      <selection activeCell="A2" sqref="A2:E266"/>
    </sheetView>
  </sheetViews>
  <sheetFormatPr defaultRowHeight="15" x14ac:dyDescent="0.25"/>
  <cols>
    <col min="1" max="1" width="15.42578125" bestFit="1" customWidth="1"/>
    <col min="2" max="2" width="45.42578125" bestFit="1" customWidth="1"/>
    <col min="3" max="3" width="20.42578125" bestFit="1" customWidth="1"/>
    <col min="4" max="4" width="255.7109375" bestFit="1" customWidth="1"/>
    <col min="5" max="5" width="68" bestFit="1" customWidth="1"/>
  </cols>
  <sheetData>
    <row r="1" spans="1:5" x14ac:dyDescent="0.25">
      <c r="A1" t="s">
        <v>0</v>
      </c>
      <c r="B1" t="s">
        <v>1</v>
      </c>
      <c r="C1" t="s">
        <v>2</v>
      </c>
      <c r="D1" t="s">
        <v>3</v>
      </c>
      <c r="E1" t="s">
        <v>4</v>
      </c>
    </row>
    <row r="2" spans="1:5" x14ac:dyDescent="0.25">
      <c r="A2" t="s">
        <v>5</v>
      </c>
      <c r="B2" t="s">
        <v>6</v>
      </c>
      <c r="C2" t="s">
        <v>7</v>
      </c>
      <c r="D2" t="s">
        <v>654</v>
      </c>
      <c r="E2" t="s">
        <v>8</v>
      </c>
    </row>
    <row r="3" spans="1:5" x14ac:dyDescent="0.25">
      <c r="A3" t="s">
        <v>9</v>
      </c>
      <c r="B3" t="s">
        <v>654</v>
      </c>
      <c r="C3" t="s">
        <v>654</v>
      </c>
      <c r="D3" t="s">
        <v>10</v>
      </c>
      <c r="E3" t="s">
        <v>11</v>
      </c>
    </row>
    <row r="4" spans="1:5" ht="90" x14ac:dyDescent="0.25">
      <c r="A4" t="s">
        <v>12</v>
      </c>
      <c r="B4" t="s">
        <v>13</v>
      </c>
      <c r="C4" t="s">
        <v>14</v>
      </c>
      <c r="D4" s="1" t="s">
        <v>15</v>
      </c>
      <c r="E4" t="s">
        <v>16</v>
      </c>
    </row>
    <row r="5" spans="1:5" x14ac:dyDescent="0.25">
      <c r="A5" t="s">
        <v>17</v>
      </c>
      <c r="B5" t="s">
        <v>654</v>
      </c>
      <c r="C5" t="s">
        <v>654</v>
      </c>
      <c r="D5" t="s">
        <v>18</v>
      </c>
      <c r="E5" t="s">
        <v>19</v>
      </c>
    </row>
    <row r="6" spans="1:5" x14ac:dyDescent="0.25">
      <c r="A6" t="s">
        <v>20</v>
      </c>
      <c r="B6" t="s">
        <v>21</v>
      </c>
      <c r="C6" t="s">
        <v>22</v>
      </c>
      <c r="D6" t="s">
        <v>23</v>
      </c>
      <c r="E6" t="s">
        <v>24</v>
      </c>
    </row>
    <row r="7" spans="1:5" x14ac:dyDescent="0.25">
      <c r="A7" t="s">
        <v>25</v>
      </c>
      <c r="B7" t="s">
        <v>26</v>
      </c>
      <c r="C7" t="s">
        <v>27</v>
      </c>
      <c r="D7" t="s">
        <v>654</v>
      </c>
      <c r="E7" t="s">
        <v>28</v>
      </c>
    </row>
    <row r="8" spans="1:5" x14ac:dyDescent="0.25">
      <c r="A8" t="s">
        <v>29</v>
      </c>
      <c r="B8" t="s">
        <v>26</v>
      </c>
      <c r="C8" t="s">
        <v>7</v>
      </c>
      <c r="D8" t="s">
        <v>654</v>
      </c>
      <c r="E8" t="s">
        <v>30</v>
      </c>
    </row>
    <row r="9" spans="1:5" x14ac:dyDescent="0.25">
      <c r="A9" t="s">
        <v>31</v>
      </c>
      <c r="B9" t="s">
        <v>654</v>
      </c>
      <c r="C9" t="s">
        <v>654</v>
      </c>
      <c r="D9" t="s">
        <v>32</v>
      </c>
      <c r="E9" t="s">
        <v>33</v>
      </c>
    </row>
    <row r="10" spans="1:5" x14ac:dyDescent="0.25">
      <c r="A10" t="s">
        <v>34</v>
      </c>
      <c r="B10" t="s">
        <v>13</v>
      </c>
      <c r="C10" t="s">
        <v>7</v>
      </c>
      <c r="D10" t="s">
        <v>654</v>
      </c>
      <c r="E10" t="s">
        <v>35</v>
      </c>
    </row>
    <row r="11" spans="1:5" x14ac:dyDescent="0.25">
      <c r="A11" t="s">
        <v>36</v>
      </c>
      <c r="B11" t="s">
        <v>6</v>
      </c>
      <c r="C11" t="s">
        <v>27</v>
      </c>
      <c r="D11" t="s">
        <v>37</v>
      </c>
      <c r="E11" t="s">
        <v>38</v>
      </c>
    </row>
    <row r="12" spans="1:5" x14ac:dyDescent="0.25">
      <c r="A12" t="s">
        <v>39</v>
      </c>
      <c r="B12" t="s">
        <v>26</v>
      </c>
      <c r="C12" t="s">
        <v>27</v>
      </c>
      <c r="D12" t="s">
        <v>653</v>
      </c>
      <c r="E12" t="s">
        <v>40</v>
      </c>
    </row>
    <row r="13" spans="1:5" x14ac:dyDescent="0.25">
      <c r="A13" t="s">
        <v>41</v>
      </c>
      <c r="B13" t="s">
        <v>42</v>
      </c>
      <c r="C13" t="s">
        <v>7</v>
      </c>
      <c r="D13" t="s">
        <v>654</v>
      </c>
      <c r="E13" t="s">
        <v>43</v>
      </c>
    </row>
    <row r="14" spans="1:5" x14ac:dyDescent="0.25">
      <c r="A14" t="s">
        <v>44</v>
      </c>
      <c r="B14" t="s">
        <v>6</v>
      </c>
      <c r="C14" t="s">
        <v>7</v>
      </c>
      <c r="D14" t="s">
        <v>654</v>
      </c>
      <c r="E14" t="s">
        <v>45</v>
      </c>
    </row>
    <row r="15" spans="1:5" x14ac:dyDescent="0.25">
      <c r="A15" t="s">
        <v>46</v>
      </c>
      <c r="B15" t="s">
        <v>42</v>
      </c>
      <c r="C15" t="s">
        <v>7</v>
      </c>
      <c r="D15" t="s">
        <v>654</v>
      </c>
      <c r="E15" t="s">
        <v>47</v>
      </c>
    </row>
    <row r="16" spans="1:5" x14ac:dyDescent="0.25">
      <c r="A16" t="s">
        <v>48</v>
      </c>
      <c r="B16" t="s">
        <v>26</v>
      </c>
      <c r="C16" t="s">
        <v>7</v>
      </c>
      <c r="D16" t="s">
        <v>49</v>
      </c>
      <c r="E16" t="s">
        <v>50</v>
      </c>
    </row>
    <row r="17" spans="1:5" x14ac:dyDescent="0.25">
      <c r="A17" t="s">
        <v>51</v>
      </c>
      <c r="B17" t="s">
        <v>26</v>
      </c>
      <c r="C17" t="s">
        <v>27</v>
      </c>
      <c r="D17" t="s">
        <v>654</v>
      </c>
      <c r="E17" t="s">
        <v>52</v>
      </c>
    </row>
    <row r="18" spans="1:5" x14ac:dyDescent="0.25">
      <c r="A18" t="s">
        <v>53</v>
      </c>
      <c r="B18" t="s">
        <v>21</v>
      </c>
      <c r="C18" t="s">
        <v>14</v>
      </c>
      <c r="D18" t="s">
        <v>54</v>
      </c>
      <c r="E18" t="s">
        <v>55</v>
      </c>
    </row>
    <row r="19" spans="1:5" x14ac:dyDescent="0.25">
      <c r="A19" t="s">
        <v>56</v>
      </c>
      <c r="B19" t="s">
        <v>26</v>
      </c>
      <c r="C19" t="s">
        <v>7</v>
      </c>
      <c r="D19" t="s">
        <v>57</v>
      </c>
      <c r="E19" t="s">
        <v>58</v>
      </c>
    </row>
    <row r="20" spans="1:5" x14ac:dyDescent="0.25">
      <c r="A20" t="s">
        <v>59</v>
      </c>
      <c r="B20" t="s">
        <v>21</v>
      </c>
      <c r="C20" t="s">
        <v>22</v>
      </c>
      <c r="D20" t="s">
        <v>654</v>
      </c>
      <c r="E20" t="s">
        <v>60</v>
      </c>
    </row>
    <row r="21" spans="1:5" x14ac:dyDescent="0.25">
      <c r="A21" t="s">
        <v>61</v>
      </c>
      <c r="B21" t="s">
        <v>21</v>
      </c>
      <c r="C21" t="s">
        <v>14</v>
      </c>
      <c r="D21" t="s">
        <v>654</v>
      </c>
      <c r="E21" t="s">
        <v>62</v>
      </c>
    </row>
    <row r="22" spans="1:5" x14ac:dyDescent="0.25">
      <c r="A22" t="s">
        <v>63</v>
      </c>
      <c r="B22" t="s">
        <v>64</v>
      </c>
      <c r="C22" t="s">
        <v>22</v>
      </c>
      <c r="D22" t="s">
        <v>65</v>
      </c>
      <c r="E22" t="s">
        <v>66</v>
      </c>
    </row>
    <row r="23" spans="1:5" x14ac:dyDescent="0.25">
      <c r="A23" t="s">
        <v>67</v>
      </c>
      <c r="B23" t="s">
        <v>26</v>
      </c>
      <c r="C23" t="s">
        <v>7</v>
      </c>
      <c r="D23" t="s">
        <v>654</v>
      </c>
      <c r="E23" t="s">
        <v>68</v>
      </c>
    </row>
    <row r="24" spans="1:5" x14ac:dyDescent="0.25">
      <c r="A24" t="s">
        <v>69</v>
      </c>
      <c r="B24" t="s">
        <v>13</v>
      </c>
      <c r="C24" t="s">
        <v>7</v>
      </c>
      <c r="D24" t="s">
        <v>654</v>
      </c>
      <c r="E24" t="s">
        <v>70</v>
      </c>
    </row>
    <row r="25" spans="1:5" x14ac:dyDescent="0.25">
      <c r="A25" t="s">
        <v>71</v>
      </c>
      <c r="B25" t="s">
        <v>6</v>
      </c>
      <c r="C25" t="s">
        <v>7</v>
      </c>
      <c r="D25" t="s">
        <v>654</v>
      </c>
      <c r="E25" t="s">
        <v>72</v>
      </c>
    </row>
    <row r="26" spans="1:5" x14ac:dyDescent="0.25">
      <c r="A26" t="s">
        <v>73</v>
      </c>
      <c r="B26" t="s">
        <v>26</v>
      </c>
      <c r="C26" t="s">
        <v>27</v>
      </c>
      <c r="D26" t="s">
        <v>654</v>
      </c>
      <c r="E26" t="s">
        <v>74</v>
      </c>
    </row>
    <row r="27" spans="1:5" x14ac:dyDescent="0.25">
      <c r="A27" t="s">
        <v>75</v>
      </c>
      <c r="B27" t="s">
        <v>26</v>
      </c>
      <c r="C27" t="s">
        <v>27</v>
      </c>
      <c r="D27" t="s">
        <v>76</v>
      </c>
      <c r="E27" t="s">
        <v>77</v>
      </c>
    </row>
    <row r="28" spans="1:5" x14ac:dyDescent="0.25">
      <c r="A28" t="s">
        <v>78</v>
      </c>
      <c r="B28" t="s">
        <v>6</v>
      </c>
      <c r="C28" t="s">
        <v>27</v>
      </c>
      <c r="D28" t="s">
        <v>654</v>
      </c>
      <c r="E28" t="s">
        <v>79</v>
      </c>
    </row>
    <row r="29" spans="1:5" x14ac:dyDescent="0.25">
      <c r="A29" t="s">
        <v>80</v>
      </c>
      <c r="B29" t="s">
        <v>81</v>
      </c>
      <c r="C29" t="s">
        <v>7</v>
      </c>
      <c r="D29" t="s">
        <v>654</v>
      </c>
      <c r="E29" t="s">
        <v>82</v>
      </c>
    </row>
    <row r="30" spans="1:5" x14ac:dyDescent="0.25">
      <c r="A30" t="s">
        <v>83</v>
      </c>
      <c r="B30" t="s">
        <v>6</v>
      </c>
      <c r="C30" t="s">
        <v>22</v>
      </c>
      <c r="D30" t="s">
        <v>654</v>
      </c>
      <c r="E30" t="s">
        <v>84</v>
      </c>
    </row>
    <row r="31" spans="1:5" x14ac:dyDescent="0.25">
      <c r="A31" t="s">
        <v>85</v>
      </c>
      <c r="B31" t="s">
        <v>6</v>
      </c>
      <c r="C31" t="s">
        <v>27</v>
      </c>
      <c r="D31" t="s">
        <v>654</v>
      </c>
      <c r="E31" t="s">
        <v>86</v>
      </c>
    </row>
    <row r="32" spans="1:5" x14ac:dyDescent="0.25">
      <c r="A32" t="s">
        <v>87</v>
      </c>
      <c r="B32" t="s">
        <v>6</v>
      </c>
      <c r="C32" t="s">
        <v>7</v>
      </c>
      <c r="D32" t="s">
        <v>654</v>
      </c>
      <c r="E32" t="s">
        <v>88</v>
      </c>
    </row>
    <row r="33" spans="1:5" x14ac:dyDescent="0.25">
      <c r="A33" t="s">
        <v>89</v>
      </c>
      <c r="B33" t="s">
        <v>42</v>
      </c>
      <c r="C33" t="s">
        <v>7</v>
      </c>
      <c r="D33" t="s">
        <v>654</v>
      </c>
      <c r="E33" t="s">
        <v>90</v>
      </c>
    </row>
    <row r="34" spans="1:5" x14ac:dyDescent="0.25">
      <c r="A34" t="s">
        <v>91</v>
      </c>
      <c r="B34" t="s">
        <v>64</v>
      </c>
      <c r="C34" t="s">
        <v>22</v>
      </c>
      <c r="D34" t="s">
        <v>654</v>
      </c>
      <c r="E34" t="s">
        <v>92</v>
      </c>
    </row>
    <row r="35" spans="1:5" x14ac:dyDescent="0.25">
      <c r="A35" t="s">
        <v>93</v>
      </c>
      <c r="B35" t="s">
        <v>21</v>
      </c>
      <c r="C35" t="s">
        <v>27</v>
      </c>
      <c r="D35" t="s">
        <v>654</v>
      </c>
      <c r="E35" t="s">
        <v>94</v>
      </c>
    </row>
    <row r="36" spans="1:5" x14ac:dyDescent="0.25">
      <c r="A36" t="s">
        <v>95</v>
      </c>
      <c r="B36" t="s">
        <v>21</v>
      </c>
      <c r="C36" t="s">
        <v>14</v>
      </c>
      <c r="D36" t="s">
        <v>654</v>
      </c>
      <c r="E36" t="s">
        <v>96</v>
      </c>
    </row>
    <row r="37" spans="1:5" x14ac:dyDescent="0.25">
      <c r="A37" t="s">
        <v>97</v>
      </c>
      <c r="B37" t="s">
        <v>81</v>
      </c>
      <c r="C37" t="s">
        <v>7</v>
      </c>
      <c r="D37" t="s">
        <v>98</v>
      </c>
      <c r="E37" t="s">
        <v>99</v>
      </c>
    </row>
    <row r="38" spans="1:5" x14ac:dyDescent="0.25">
      <c r="A38" t="s">
        <v>100</v>
      </c>
      <c r="B38" t="s">
        <v>654</v>
      </c>
      <c r="C38" t="s">
        <v>654</v>
      </c>
      <c r="D38" t="s">
        <v>101</v>
      </c>
      <c r="E38" t="s">
        <v>102</v>
      </c>
    </row>
    <row r="39" spans="1:5" x14ac:dyDescent="0.25">
      <c r="A39" t="s">
        <v>103</v>
      </c>
      <c r="B39" t="s">
        <v>26</v>
      </c>
      <c r="C39" t="s">
        <v>7</v>
      </c>
      <c r="D39" t="s">
        <v>654</v>
      </c>
      <c r="E39" t="s">
        <v>104</v>
      </c>
    </row>
    <row r="40" spans="1:5" x14ac:dyDescent="0.25">
      <c r="A40" t="s">
        <v>105</v>
      </c>
      <c r="B40" t="s">
        <v>26</v>
      </c>
      <c r="C40" t="s">
        <v>7</v>
      </c>
      <c r="D40" t="s">
        <v>654</v>
      </c>
      <c r="E40" t="s">
        <v>106</v>
      </c>
    </row>
    <row r="41" spans="1:5" x14ac:dyDescent="0.25">
      <c r="A41" t="s">
        <v>107</v>
      </c>
      <c r="B41" t="s">
        <v>6</v>
      </c>
      <c r="C41" t="s">
        <v>7</v>
      </c>
      <c r="D41" t="s">
        <v>654</v>
      </c>
      <c r="E41" t="s">
        <v>108</v>
      </c>
    </row>
    <row r="42" spans="1:5" ht="75" x14ac:dyDescent="0.25">
      <c r="A42" t="s">
        <v>109</v>
      </c>
      <c r="B42" t="s">
        <v>42</v>
      </c>
      <c r="C42" t="s">
        <v>27</v>
      </c>
      <c r="D42" s="1" t="s">
        <v>110</v>
      </c>
      <c r="E42" t="s">
        <v>111</v>
      </c>
    </row>
    <row r="43" spans="1:5" x14ac:dyDescent="0.25">
      <c r="A43" t="s">
        <v>112</v>
      </c>
      <c r="B43" t="s">
        <v>21</v>
      </c>
      <c r="C43" t="s">
        <v>22</v>
      </c>
      <c r="D43" t="s">
        <v>654</v>
      </c>
      <c r="E43" t="s">
        <v>113</v>
      </c>
    </row>
    <row r="44" spans="1:5" x14ac:dyDescent="0.25">
      <c r="A44" t="s">
        <v>114</v>
      </c>
      <c r="B44" t="s">
        <v>21</v>
      </c>
      <c r="C44" t="s">
        <v>22</v>
      </c>
      <c r="D44" t="s">
        <v>654</v>
      </c>
      <c r="E44" t="s">
        <v>115</v>
      </c>
    </row>
    <row r="45" spans="1:5" x14ac:dyDescent="0.25">
      <c r="A45" t="s">
        <v>116</v>
      </c>
      <c r="B45" t="s">
        <v>21</v>
      </c>
      <c r="C45" t="s">
        <v>14</v>
      </c>
      <c r="D45" t="s">
        <v>117</v>
      </c>
      <c r="E45" t="s">
        <v>118</v>
      </c>
    </row>
    <row r="46" spans="1:5" x14ac:dyDescent="0.25">
      <c r="A46" t="s">
        <v>119</v>
      </c>
      <c r="B46" t="s">
        <v>21</v>
      </c>
      <c r="C46" t="s">
        <v>22</v>
      </c>
      <c r="D46" t="s">
        <v>654</v>
      </c>
      <c r="E46" t="s">
        <v>120</v>
      </c>
    </row>
    <row r="47" spans="1:5" x14ac:dyDescent="0.25">
      <c r="A47" t="s">
        <v>121</v>
      </c>
      <c r="B47" t="s">
        <v>6</v>
      </c>
      <c r="C47" t="s">
        <v>27</v>
      </c>
      <c r="D47" t="s">
        <v>654</v>
      </c>
      <c r="E47" t="s">
        <v>122</v>
      </c>
    </row>
    <row r="48" spans="1:5" x14ac:dyDescent="0.25">
      <c r="A48" t="s">
        <v>123</v>
      </c>
      <c r="B48" t="s">
        <v>21</v>
      </c>
      <c r="C48" t="s">
        <v>22</v>
      </c>
      <c r="D48" t="s">
        <v>654</v>
      </c>
      <c r="E48" t="s">
        <v>124</v>
      </c>
    </row>
    <row r="49" spans="1:5" x14ac:dyDescent="0.25">
      <c r="A49" t="s">
        <v>125</v>
      </c>
      <c r="B49" t="s">
        <v>21</v>
      </c>
      <c r="C49" t="s">
        <v>27</v>
      </c>
      <c r="D49" t="s">
        <v>654</v>
      </c>
      <c r="E49" t="s">
        <v>126</v>
      </c>
    </row>
    <row r="50" spans="1:5" x14ac:dyDescent="0.25">
      <c r="A50" t="s">
        <v>127</v>
      </c>
      <c r="B50" t="s">
        <v>6</v>
      </c>
      <c r="C50" t="s">
        <v>7</v>
      </c>
      <c r="D50" t="s">
        <v>654</v>
      </c>
      <c r="E50" t="s">
        <v>128</v>
      </c>
    </row>
    <row r="51" spans="1:5" x14ac:dyDescent="0.25">
      <c r="A51" t="s">
        <v>129</v>
      </c>
      <c r="B51" t="s">
        <v>654</v>
      </c>
      <c r="C51" t="s">
        <v>654</v>
      </c>
      <c r="D51" t="s">
        <v>130</v>
      </c>
      <c r="E51" t="s">
        <v>131</v>
      </c>
    </row>
    <row r="52" spans="1:5" x14ac:dyDescent="0.25">
      <c r="A52" t="s">
        <v>132</v>
      </c>
      <c r="B52" t="s">
        <v>6</v>
      </c>
      <c r="C52" t="s">
        <v>27</v>
      </c>
      <c r="D52" t="s">
        <v>654</v>
      </c>
      <c r="E52" t="s">
        <v>133</v>
      </c>
    </row>
    <row r="53" spans="1:5" x14ac:dyDescent="0.25">
      <c r="A53" t="s">
        <v>134</v>
      </c>
      <c r="B53" t="s">
        <v>6</v>
      </c>
      <c r="C53" t="s">
        <v>7</v>
      </c>
      <c r="D53" t="s">
        <v>654</v>
      </c>
      <c r="E53" t="s">
        <v>135</v>
      </c>
    </row>
    <row r="54" spans="1:5" x14ac:dyDescent="0.25">
      <c r="A54" t="s">
        <v>136</v>
      </c>
      <c r="B54" t="s">
        <v>6</v>
      </c>
      <c r="C54" t="s">
        <v>7</v>
      </c>
      <c r="D54" t="s">
        <v>654</v>
      </c>
      <c r="E54" t="s">
        <v>137</v>
      </c>
    </row>
    <row r="55" spans="1:5" x14ac:dyDescent="0.25">
      <c r="A55" t="s">
        <v>138</v>
      </c>
      <c r="B55" t="s">
        <v>26</v>
      </c>
      <c r="C55" t="s">
        <v>7</v>
      </c>
      <c r="D55" t="s">
        <v>139</v>
      </c>
      <c r="E55" t="s">
        <v>140</v>
      </c>
    </row>
    <row r="56" spans="1:5" x14ac:dyDescent="0.25">
      <c r="A56" t="s">
        <v>141</v>
      </c>
      <c r="B56" t="s">
        <v>26</v>
      </c>
      <c r="C56" t="s">
        <v>7</v>
      </c>
      <c r="D56" t="s">
        <v>654</v>
      </c>
      <c r="E56" t="s">
        <v>142</v>
      </c>
    </row>
    <row r="57" spans="1:5" x14ac:dyDescent="0.25">
      <c r="A57" t="s">
        <v>143</v>
      </c>
      <c r="B57" t="s">
        <v>26</v>
      </c>
      <c r="C57" t="s">
        <v>7</v>
      </c>
      <c r="D57" t="s">
        <v>144</v>
      </c>
      <c r="E57" t="s">
        <v>145</v>
      </c>
    </row>
    <row r="58" spans="1:5" x14ac:dyDescent="0.25">
      <c r="A58" t="s">
        <v>146</v>
      </c>
      <c r="B58" t="s">
        <v>13</v>
      </c>
      <c r="C58" t="s">
        <v>22</v>
      </c>
      <c r="D58" t="s">
        <v>654</v>
      </c>
      <c r="E58" t="s">
        <v>147</v>
      </c>
    </row>
    <row r="59" spans="1:5" x14ac:dyDescent="0.25">
      <c r="A59" t="s">
        <v>148</v>
      </c>
      <c r="B59" t="s">
        <v>6</v>
      </c>
      <c r="C59" t="s">
        <v>27</v>
      </c>
      <c r="D59" t="s">
        <v>654</v>
      </c>
      <c r="E59" t="s">
        <v>149</v>
      </c>
    </row>
    <row r="60" spans="1:5" x14ac:dyDescent="0.25">
      <c r="A60" t="s">
        <v>150</v>
      </c>
      <c r="B60" t="s">
        <v>26</v>
      </c>
      <c r="C60" t="s">
        <v>7</v>
      </c>
      <c r="D60" t="s">
        <v>654</v>
      </c>
      <c r="E60" t="s">
        <v>151</v>
      </c>
    </row>
    <row r="61" spans="1:5" x14ac:dyDescent="0.25">
      <c r="A61" t="s">
        <v>152</v>
      </c>
      <c r="B61" t="s">
        <v>6</v>
      </c>
      <c r="C61" t="s">
        <v>27</v>
      </c>
      <c r="D61" t="s">
        <v>654</v>
      </c>
      <c r="E61" t="s">
        <v>153</v>
      </c>
    </row>
    <row r="62" spans="1:5" x14ac:dyDescent="0.25">
      <c r="A62" t="s">
        <v>154</v>
      </c>
      <c r="B62" t="s">
        <v>13</v>
      </c>
      <c r="C62" t="s">
        <v>27</v>
      </c>
      <c r="D62" t="s">
        <v>654</v>
      </c>
      <c r="E62" t="s">
        <v>155</v>
      </c>
    </row>
    <row r="63" spans="1:5" x14ac:dyDescent="0.25">
      <c r="A63" t="s">
        <v>156</v>
      </c>
      <c r="B63" t="s">
        <v>654</v>
      </c>
      <c r="C63" t="s">
        <v>654</v>
      </c>
      <c r="D63" t="s">
        <v>654</v>
      </c>
      <c r="E63" t="s">
        <v>157</v>
      </c>
    </row>
    <row r="64" spans="1:5" x14ac:dyDescent="0.25">
      <c r="A64" t="s">
        <v>158</v>
      </c>
      <c r="B64" t="s">
        <v>654</v>
      </c>
      <c r="C64" t="s">
        <v>654</v>
      </c>
      <c r="D64" t="s">
        <v>159</v>
      </c>
      <c r="E64" t="s">
        <v>160</v>
      </c>
    </row>
    <row r="65" spans="1:5" x14ac:dyDescent="0.25">
      <c r="A65" t="s">
        <v>161</v>
      </c>
      <c r="B65" t="s">
        <v>654</v>
      </c>
      <c r="C65" t="s">
        <v>654</v>
      </c>
      <c r="D65" t="s">
        <v>162</v>
      </c>
      <c r="E65" t="s">
        <v>42</v>
      </c>
    </row>
    <row r="66" spans="1:5" x14ac:dyDescent="0.25">
      <c r="A66" t="s">
        <v>163</v>
      </c>
      <c r="B66" t="s">
        <v>654</v>
      </c>
      <c r="C66" t="s">
        <v>654</v>
      </c>
      <c r="D66" t="s">
        <v>654</v>
      </c>
      <c r="E66" t="s">
        <v>164</v>
      </c>
    </row>
    <row r="67" spans="1:5" x14ac:dyDescent="0.25">
      <c r="A67" t="s">
        <v>165</v>
      </c>
      <c r="B67" t="s">
        <v>654</v>
      </c>
      <c r="C67" t="s">
        <v>654</v>
      </c>
      <c r="D67" t="s">
        <v>166</v>
      </c>
      <c r="E67" t="s">
        <v>26</v>
      </c>
    </row>
    <row r="68" spans="1:5" x14ac:dyDescent="0.25">
      <c r="A68" t="s">
        <v>167</v>
      </c>
      <c r="B68" t="s">
        <v>6</v>
      </c>
      <c r="C68" t="s">
        <v>27</v>
      </c>
      <c r="D68" t="s">
        <v>654</v>
      </c>
      <c r="E68" t="s">
        <v>168</v>
      </c>
    </row>
    <row r="69" spans="1:5" ht="120" x14ac:dyDescent="0.25">
      <c r="A69" t="s">
        <v>169</v>
      </c>
      <c r="B69" t="s">
        <v>13</v>
      </c>
      <c r="C69" t="s">
        <v>22</v>
      </c>
      <c r="D69" s="1" t="s">
        <v>170</v>
      </c>
      <c r="E69" t="s">
        <v>171</v>
      </c>
    </row>
    <row r="70" spans="1:5" x14ac:dyDescent="0.25">
      <c r="A70" t="s">
        <v>172</v>
      </c>
      <c r="B70" t="s">
        <v>654</v>
      </c>
      <c r="C70" t="s">
        <v>654</v>
      </c>
      <c r="D70" t="s">
        <v>173</v>
      </c>
      <c r="E70" t="s">
        <v>174</v>
      </c>
    </row>
    <row r="71" spans="1:5" x14ac:dyDescent="0.25">
      <c r="A71" t="s">
        <v>175</v>
      </c>
      <c r="B71" t="s">
        <v>21</v>
      </c>
      <c r="C71" t="s">
        <v>14</v>
      </c>
      <c r="D71" t="s">
        <v>176</v>
      </c>
      <c r="E71" t="s">
        <v>177</v>
      </c>
    </row>
    <row r="72" spans="1:5" x14ac:dyDescent="0.25">
      <c r="A72" t="s">
        <v>178</v>
      </c>
      <c r="B72" t="s">
        <v>26</v>
      </c>
      <c r="C72" t="s">
        <v>7</v>
      </c>
      <c r="D72" t="s">
        <v>179</v>
      </c>
      <c r="E72" t="s">
        <v>180</v>
      </c>
    </row>
    <row r="73" spans="1:5" x14ac:dyDescent="0.25">
      <c r="A73" t="s">
        <v>181</v>
      </c>
      <c r="B73" t="s">
        <v>26</v>
      </c>
      <c r="C73" t="s">
        <v>7</v>
      </c>
      <c r="D73" t="s">
        <v>182</v>
      </c>
      <c r="E73" t="s">
        <v>183</v>
      </c>
    </row>
    <row r="74" spans="1:5" x14ac:dyDescent="0.25">
      <c r="A74" t="s">
        <v>184</v>
      </c>
      <c r="B74" t="s">
        <v>21</v>
      </c>
      <c r="C74" t="s">
        <v>654</v>
      </c>
      <c r="D74" t="s">
        <v>185</v>
      </c>
      <c r="E74" t="s">
        <v>186</v>
      </c>
    </row>
    <row r="75" spans="1:5" x14ac:dyDescent="0.25">
      <c r="A75" t="s">
        <v>187</v>
      </c>
      <c r="B75" t="s">
        <v>654</v>
      </c>
      <c r="C75" t="s">
        <v>654</v>
      </c>
      <c r="D75" t="s">
        <v>188</v>
      </c>
      <c r="E75" t="s">
        <v>189</v>
      </c>
    </row>
    <row r="76" spans="1:5" x14ac:dyDescent="0.25">
      <c r="A76" t="s">
        <v>190</v>
      </c>
      <c r="B76" t="s">
        <v>654</v>
      </c>
      <c r="C76" t="s">
        <v>654</v>
      </c>
      <c r="D76" t="s">
        <v>191</v>
      </c>
      <c r="E76" t="s">
        <v>192</v>
      </c>
    </row>
    <row r="77" spans="1:5" x14ac:dyDescent="0.25">
      <c r="A77" t="s">
        <v>193</v>
      </c>
      <c r="B77" t="s">
        <v>26</v>
      </c>
      <c r="C77" t="s">
        <v>7</v>
      </c>
      <c r="D77" t="s">
        <v>194</v>
      </c>
      <c r="E77" t="s">
        <v>195</v>
      </c>
    </row>
    <row r="78" spans="1:5" x14ac:dyDescent="0.25">
      <c r="A78" t="s">
        <v>196</v>
      </c>
      <c r="B78" t="s">
        <v>42</v>
      </c>
      <c r="C78" t="s">
        <v>27</v>
      </c>
      <c r="D78" t="s">
        <v>654</v>
      </c>
      <c r="E78" t="s">
        <v>197</v>
      </c>
    </row>
    <row r="79" spans="1:5" x14ac:dyDescent="0.25">
      <c r="A79" t="s">
        <v>198</v>
      </c>
      <c r="B79" t="s">
        <v>26</v>
      </c>
      <c r="C79" t="s">
        <v>7</v>
      </c>
      <c r="D79" t="s">
        <v>199</v>
      </c>
      <c r="E79" t="s">
        <v>200</v>
      </c>
    </row>
    <row r="80" spans="1:5" x14ac:dyDescent="0.25">
      <c r="A80" t="s">
        <v>201</v>
      </c>
      <c r="B80" t="s">
        <v>26</v>
      </c>
      <c r="C80" t="s">
        <v>7</v>
      </c>
      <c r="D80" t="s">
        <v>654</v>
      </c>
      <c r="E80" t="s">
        <v>202</v>
      </c>
    </row>
    <row r="81" spans="1:5" x14ac:dyDescent="0.25">
      <c r="A81" t="s">
        <v>203</v>
      </c>
      <c r="B81" t="s">
        <v>42</v>
      </c>
      <c r="C81" t="s">
        <v>22</v>
      </c>
      <c r="D81" t="s">
        <v>204</v>
      </c>
      <c r="E81" t="s">
        <v>205</v>
      </c>
    </row>
    <row r="82" spans="1:5" x14ac:dyDescent="0.25">
      <c r="A82" t="s">
        <v>206</v>
      </c>
      <c r="B82" t="s">
        <v>21</v>
      </c>
      <c r="C82" t="s">
        <v>27</v>
      </c>
      <c r="D82" t="s">
        <v>654</v>
      </c>
      <c r="E82" t="s">
        <v>207</v>
      </c>
    </row>
    <row r="83" spans="1:5" x14ac:dyDescent="0.25">
      <c r="A83" t="s">
        <v>208</v>
      </c>
      <c r="B83" t="s">
        <v>26</v>
      </c>
      <c r="C83" t="s">
        <v>7</v>
      </c>
      <c r="D83" t="s">
        <v>654</v>
      </c>
      <c r="E83" t="s">
        <v>209</v>
      </c>
    </row>
    <row r="84" spans="1:5" x14ac:dyDescent="0.25">
      <c r="A84" t="s">
        <v>210</v>
      </c>
      <c r="B84" t="s">
        <v>26</v>
      </c>
      <c r="C84" t="s">
        <v>27</v>
      </c>
      <c r="D84" t="s">
        <v>211</v>
      </c>
      <c r="E84" t="s">
        <v>212</v>
      </c>
    </row>
    <row r="85" spans="1:5" x14ac:dyDescent="0.25">
      <c r="A85" t="s">
        <v>213</v>
      </c>
      <c r="B85" t="s">
        <v>21</v>
      </c>
      <c r="C85" t="s">
        <v>22</v>
      </c>
      <c r="D85" t="s">
        <v>214</v>
      </c>
      <c r="E85" t="s">
        <v>215</v>
      </c>
    </row>
    <row r="86" spans="1:5" x14ac:dyDescent="0.25">
      <c r="A86" t="s">
        <v>216</v>
      </c>
      <c r="B86" t="s">
        <v>26</v>
      </c>
      <c r="C86" t="s">
        <v>7</v>
      </c>
      <c r="D86" t="s">
        <v>217</v>
      </c>
      <c r="E86" t="s">
        <v>218</v>
      </c>
    </row>
    <row r="87" spans="1:5" x14ac:dyDescent="0.25">
      <c r="A87" t="s">
        <v>219</v>
      </c>
      <c r="B87" t="s">
        <v>21</v>
      </c>
      <c r="C87" t="s">
        <v>22</v>
      </c>
      <c r="D87" t="s">
        <v>654</v>
      </c>
      <c r="E87" t="s">
        <v>220</v>
      </c>
    </row>
    <row r="88" spans="1:5" x14ac:dyDescent="0.25">
      <c r="A88" t="s">
        <v>221</v>
      </c>
      <c r="B88" t="s">
        <v>21</v>
      </c>
      <c r="C88" t="s">
        <v>14</v>
      </c>
      <c r="D88" t="s">
        <v>654</v>
      </c>
      <c r="E88" t="s">
        <v>222</v>
      </c>
    </row>
    <row r="89" spans="1:5" x14ac:dyDescent="0.25">
      <c r="A89" t="s">
        <v>223</v>
      </c>
      <c r="B89" t="s">
        <v>21</v>
      </c>
      <c r="C89" t="s">
        <v>14</v>
      </c>
      <c r="D89" t="s">
        <v>654</v>
      </c>
      <c r="E89" t="s">
        <v>224</v>
      </c>
    </row>
    <row r="90" spans="1:5" x14ac:dyDescent="0.25">
      <c r="A90" t="s">
        <v>225</v>
      </c>
      <c r="B90" t="s">
        <v>21</v>
      </c>
      <c r="C90" t="s">
        <v>27</v>
      </c>
      <c r="D90" t="s">
        <v>654</v>
      </c>
      <c r="E90" t="s">
        <v>226</v>
      </c>
    </row>
    <row r="91" spans="1:5" x14ac:dyDescent="0.25">
      <c r="A91" t="s">
        <v>227</v>
      </c>
      <c r="B91" t="s">
        <v>26</v>
      </c>
      <c r="C91" t="s">
        <v>7</v>
      </c>
      <c r="D91" t="s">
        <v>228</v>
      </c>
      <c r="E91" t="s">
        <v>229</v>
      </c>
    </row>
    <row r="92" spans="1:5" x14ac:dyDescent="0.25">
      <c r="A92" t="s">
        <v>230</v>
      </c>
      <c r="B92" t="s">
        <v>6</v>
      </c>
      <c r="C92" t="s">
        <v>27</v>
      </c>
      <c r="D92" t="s">
        <v>654</v>
      </c>
      <c r="E92" t="s">
        <v>231</v>
      </c>
    </row>
    <row r="93" spans="1:5" x14ac:dyDescent="0.25">
      <c r="A93" t="s">
        <v>232</v>
      </c>
      <c r="B93" t="s">
        <v>26</v>
      </c>
      <c r="C93" t="s">
        <v>7</v>
      </c>
      <c r="D93" t="s">
        <v>654</v>
      </c>
      <c r="E93" t="s">
        <v>233</v>
      </c>
    </row>
    <row r="94" spans="1:5" x14ac:dyDescent="0.25">
      <c r="A94" t="s">
        <v>234</v>
      </c>
      <c r="B94" t="s">
        <v>6</v>
      </c>
      <c r="C94" t="s">
        <v>27</v>
      </c>
      <c r="D94" t="s">
        <v>235</v>
      </c>
      <c r="E94" t="s">
        <v>236</v>
      </c>
    </row>
    <row r="95" spans="1:5" x14ac:dyDescent="0.25">
      <c r="A95" t="s">
        <v>237</v>
      </c>
      <c r="B95" t="s">
        <v>42</v>
      </c>
      <c r="C95" t="s">
        <v>7</v>
      </c>
      <c r="D95" t="s">
        <v>654</v>
      </c>
      <c r="E95" t="s">
        <v>238</v>
      </c>
    </row>
    <row r="96" spans="1:5" x14ac:dyDescent="0.25">
      <c r="A96" t="s">
        <v>239</v>
      </c>
      <c r="B96" t="s">
        <v>6</v>
      </c>
      <c r="C96" t="s">
        <v>7</v>
      </c>
      <c r="D96" t="s">
        <v>654</v>
      </c>
      <c r="E96" t="s">
        <v>240</v>
      </c>
    </row>
    <row r="97" spans="1:5" x14ac:dyDescent="0.25">
      <c r="A97" t="s">
        <v>241</v>
      </c>
      <c r="B97" t="s">
        <v>654</v>
      </c>
      <c r="C97" t="s">
        <v>654</v>
      </c>
      <c r="D97" t="s">
        <v>242</v>
      </c>
      <c r="E97" t="s">
        <v>7</v>
      </c>
    </row>
    <row r="98" spans="1:5" x14ac:dyDescent="0.25">
      <c r="A98" t="s">
        <v>243</v>
      </c>
      <c r="B98" t="s">
        <v>42</v>
      </c>
      <c r="C98" t="s">
        <v>7</v>
      </c>
      <c r="D98" t="s">
        <v>244</v>
      </c>
      <c r="E98" t="s">
        <v>245</v>
      </c>
    </row>
    <row r="99" spans="1:5" x14ac:dyDescent="0.25">
      <c r="A99" t="s">
        <v>246</v>
      </c>
      <c r="B99" t="s">
        <v>6</v>
      </c>
      <c r="C99" t="s">
        <v>22</v>
      </c>
      <c r="D99" t="s">
        <v>247</v>
      </c>
      <c r="E99" t="s">
        <v>248</v>
      </c>
    </row>
    <row r="100" spans="1:5" x14ac:dyDescent="0.25">
      <c r="A100" t="s">
        <v>249</v>
      </c>
      <c r="B100" t="s">
        <v>654</v>
      </c>
      <c r="C100" t="s">
        <v>654</v>
      </c>
      <c r="D100" t="s">
        <v>250</v>
      </c>
      <c r="E100" t="s">
        <v>251</v>
      </c>
    </row>
    <row r="101" spans="1:5" x14ac:dyDescent="0.25">
      <c r="A101" t="s">
        <v>252</v>
      </c>
      <c r="B101" t="s">
        <v>26</v>
      </c>
      <c r="C101" t="s">
        <v>7</v>
      </c>
      <c r="D101" t="s">
        <v>253</v>
      </c>
      <c r="E101" t="s">
        <v>254</v>
      </c>
    </row>
    <row r="102" spans="1:5" x14ac:dyDescent="0.25">
      <c r="A102" t="s">
        <v>255</v>
      </c>
      <c r="B102" t="s">
        <v>6</v>
      </c>
      <c r="C102" t="s">
        <v>22</v>
      </c>
      <c r="D102" t="s">
        <v>256</v>
      </c>
      <c r="E102" t="s">
        <v>257</v>
      </c>
    </row>
    <row r="103" spans="1:5" x14ac:dyDescent="0.25">
      <c r="A103" t="s">
        <v>258</v>
      </c>
      <c r="B103" t="s">
        <v>26</v>
      </c>
      <c r="C103" t="s">
        <v>7</v>
      </c>
      <c r="D103" t="s">
        <v>654</v>
      </c>
      <c r="E103" t="s">
        <v>259</v>
      </c>
    </row>
    <row r="104" spans="1:5" x14ac:dyDescent="0.25">
      <c r="A104" t="s">
        <v>260</v>
      </c>
      <c r="B104" t="s">
        <v>654</v>
      </c>
      <c r="C104" t="s">
        <v>654</v>
      </c>
      <c r="D104" t="s">
        <v>261</v>
      </c>
      <c r="E104" t="s">
        <v>262</v>
      </c>
    </row>
    <row r="105" spans="1:5" x14ac:dyDescent="0.25">
      <c r="A105" t="s">
        <v>263</v>
      </c>
      <c r="B105" t="s">
        <v>654</v>
      </c>
      <c r="C105" t="s">
        <v>654</v>
      </c>
      <c r="D105" t="s">
        <v>264</v>
      </c>
      <c r="E105" t="s">
        <v>265</v>
      </c>
    </row>
    <row r="106" spans="1:5" x14ac:dyDescent="0.25">
      <c r="A106" t="s">
        <v>266</v>
      </c>
      <c r="B106" t="s">
        <v>654</v>
      </c>
      <c r="C106" t="s">
        <v>654</v>
      </c>
      <c r="D106" t="s">
        <v>267</v>
      </c>
      <c r="E106" t="s">
        <v>268</v>
      </c>
    </row>
    <row r="107" spans="1:5" x14ac:dyDescent="0.25">
      <c r="A107" t="s">
        <v>269</v>
      </c>
      <c r="B107" t="s">
        <v>654</v>
      </c>
      <c r="C107" t="s">
        <v>654</v>
      </c>
      <c r="D107" t="s">
        <v>270</v>
      </c>
      <c r="E107" t="s">
        <v>271</v>
      </c>
    </row>
    <row r="108" spans="1:5" x14ac:dyDescent="0.25">
      <c r="A108" t="s">
        <v>272</v>
      </c>
      <c r="B108" t="s">
        <v>42</v>
      </c>
      <c r="C108" t="s">
        <v>27</v>
      </c>
      <c r="D108" t="s">
        <v>273</v>
      </c>
      <c r="E108" t="s">
        <v>274</v>
      </c>
    </row>
    <row r="109" spans="1:5" x14ac:dyDescent="0.25">
      <c r="A109" t="s">
        <v>275</v>
      </c>
      <c r="B109" t="s">
        <v>654</v>
      </c>
      <c r="C109" t="s">
        <v>654</v>
      </c>
      <c r="D109" t="s">
        <v>276</v>
      </c>
      <c r="E109" t="s">
        <v>277</v>
      </c>
    </row>
    <row r="110" spans="1:5" x14ac:dyDescent="0.25">
      <c r="A110" t="s">
        <v>278</v>
      </c>
      <c r="B110" t="s">
        <v>26</v>
      </c>
      <c r="C110" t="s">
        <v>7</v>
      </c>
      <c r="D110" t="s">
        <v>279</v>
      </c>
      <c r="E110" t="s">
        <v>280</v>
      </c>
    </row>
    <row r="111" spans="1:5" x14ac:dyDescent="0.25">
      <c r="A111" t="s">
        <v>281</v>
      </c>
      <c r="B111" t="s">
        <v>64</v>
      </c>
      <c r="C111" t="s">
        <v>22</v>
      </c>
      <c r="D111" t="s">
        <v>282</v>
      </c>
      <c r="E111" t="s">
        <v>283</v>
      </c>
    </row>
    <row r="112" spans="1:5" x14ac:dyDescent="0.25">
      <c r="A112" t="s">
        <v>284</v>
      </c>
      <c r="B112" t="s">
        <v>26</v>
      </c>
      <c r="C112" t="s">
        <v>7</v>
      </c>
      <c r="D112" t="s">
        <v>285</v>
      </c>
      <c r="E112" t="s">
        <v>286</v>
      </c>
    </row>
    <row r="113" spans="1:5" x14ac:dyDescent="0.25">
      <c r="A113" t="s">
        <v>287</v>
      </c>
      <c r="B113" t="s">
        <v>13</v>
      </c>
      <c r="C113" t="s">
        <v>27</v>
      </c>
      <c r="D113" t="s">
        <v>288</v>
      </c>
      <c r="E113" t="s">
        <v>289</v>
      </c>
    </row>
    <row r="114" spans="1:5" x14ac:dyDescent="0.25">
      <c r="A114" t="s">
        <v>290</v>
      </c>
      <c r="B114" t="s">
        <v>13</v>
      </c>
      <c r="C114" t="s">
        <v>27</v>
      </c>
      <c r="D114" t="s">
        <v>654</v>
      </c>
      <c r="E114" t="s">
        <v>291</v>
      </c>
    </row>
    <row r="115" spans="1:5" x14ac:dyDescent="0.25">
      <c r="A115" t="s">
        <v>292</v>
      </c>
      <c r="B115" t="s">
        <v>26</v>
      </c>
      <c r="C115" t="s">
        <v>7</v>
      </c>
      <c r="D115" t="s">
        <v>654</v>
      </c>
      <c r="E115" t="s">
        <v>293</v>
      </c>
    </row>
    <row r="116" spans="1:5" x14ac:dyDescent="0.25">
      <c r="A116" t="s">
        <v>294</v>
      </c>
      <c r="B116" t="s">
        <v>13</v>
      </c>
      <c r="C116" t="s">
        <v>7</v>
      </c>
      <c r="D116" t="s">
        <v>654</v>
      </c>
      <c r="E116" t="s">
        <v>295</v>
      </c>
    </row>
    <row r="117" spans="1:5" x14ac:dyDescent="0.25">
      <c r="A117" t="s">
        <v>296</v>
      </c>
      <c r="B117" t="s">
        <v>26</v>
      </c>
      <c r="C117" t="s">
        <v>7</v>
      </c>
      <c r="D117" t="s">
        <v>297</v>
      </c>
      <c r="E117" t="s">
        <v>298</v>
      </c>
    </row>
    <row r="118" spans="1:5" x14ac:dyDescent="0.25">
      <c r="A118" t="s">
        <v>299</v>
      </c>
      <c r="B118" t="s">
        <v>6</v>
      </c>
      <c r="C118" t="s">
        <v>27</v>
      </c>
      <c r="D118" t="s">
        <v>654</v>
      </c>
      <c r="E118" t="s">
        <v>300</v>
      </c>
    </row>
    <row r="119" spans="1:5" x14ac:dyDescent="0.25">
      <c r="A119" t="s">
        <v>301</v>
      </c>
      <c r="B119" t="s">
        <v>13</v>
      </c>
      <c r="C119" t="s">
        <v>22</v>
      </c>
      <c r="D119" t="s">
        <v>654</v>
      </c>
      <c r="E119" t="s">
        <v>302</v>
      </c>
    </row>
    <row r="120" spans="1:5" x14ac:dyDescent="0.25">
      <c r="A120" t="s">
        <v>303</v>
      </c>
      <c r="B120" t="s">
        <v>42</v>
      </c>
      <c r="C120" t="s">
        <v>7</v>
      </c>
      <c r="D120" t="s">
        <v>98</v>
      </c>
      <c r="E120" t="s">
        <v>304</v>
      </c>
    </row>
    <row r="121" spans="1:5" x14ac:dyDescent="0.25">
      <c r="A121" t="s">
        <v>305</v>
      </c>
      <c r="B121" t="s">
        <v>26</v>
      </c>
      <c r="C121" t="s">
        <v>27</v>
      </c>
      <c r="D121" t="s">
        <v>654</v>
      </c>
      <c r="E121" t="s">
        <v>306</v>
      </c>
    </row>
    <row r="122" spans="1:5" x14ac:dyDescent="0.25">
      <c r="A122" t="s">
        <v>307</v>
      </c>
      <c r="B122" t="s">
        <v>21</v>
      </c>
      <c r="C122" t="s">
        <v>22</v>
      </c>
      <c r="D122" t="s">
        <v>308</v>
      </c>
      <c r="E122" t="s">
        <v>309</v>
      </c>
    </row>
    <row r="123" spans="1:5" x14ac:dyDescent="0.25">
      <c r="A123" t="s">
        <v>310</v>
      </c>
      <c r="B123" t="s">
        <v>26</v>
      </c>
      <c r="C123" t="s">
        <v>22</v>
      </c>
      <c r="D123" t="s">
        <v>654</v>
      </c>
      <c r="E123" t="s">
        <v>311</v>
      </c>
    </row>
    <row r="124" spans="1:5" x14ac:dyDescent="0.25">
      <c r="A124" t="s">
        <v>312</v>
      </c>
      <c r="B124" t="s">
        <v>42</v>
      </c>
      <c r="C124" t="s">
        <v>22</v>
      </c>
      <c r="D124" t="s">
        <v>313</v>
      </c>
      <c r="E124" t="s">
        <v>314</v>
      </c>
    </row>
    <row r="125" spans="1:5" x14ac:dyDescent="0.25">
      <c r="A125" t="s">
        <v>315</v>
      </c>
      <c r="B125" t="s">
        <v>42</v>
      </c>
      <c r="C125" t="s">
        <v>22</v>
      </c>
      <c r="D125" t="s">
        <v>654</v>
      </c>
      <c r="E125" t="s">
        <v>316</v>
      </c>
    </row>
    <row r="126" spans="1:5" x14ac:dyDescent="0.25">
      <c r="A126" t="s">
        <v>317</v>
      </c>
      <c r="B126" t="s">
        <v>6</v>
      </c>
      <c r="C126" t="s">
        <v>7</v>
      </c>
      <c r="D126" t="s">
        <v>654</v>
      </c>
      <c r="E126" t="s">
        <v>318</v>
      </c>
    </row>
    <row r="127" spans="1:5" x14ac:dyDescent="0.25">
      <c r="A127" t="s">
        <v>319</v>
      </c>
      <c r="B127" t="s">
        <v>42</v>
      </c>
      <c r="C127" t="s">
        <v>7</v>
      </c>
      <c r="D127" t="s">
        <v>654</v>
      </c>
      <c r="E127" t="s">
        <v>320</v>
      </c>
    </row>
    <row r="128" spans="1:5" x14ac:dyDescent="0.25">
      <c r="A128" t="s">
        <v>321</v>
      </c>
      <c r="B128" t="s">
        <v>13</v>
      </c>
      <c r="C128" t="s">
        <v>7</v>
      </c>
      <c r="D128" t="s">
        <v>654</v>
      </c>
      <c r="E128" t="s">
        <v>322</v>
      </c>
    </row>
    <row r="129" spans="1:5" x14ac:dyDescent="0.25">
      <c r="A129" t="s">
        <v>323</v>
      </c>
      <c r="B129" t="s">
        <v>654</v>
      </c>
      <c r="C129" t="s">
        <v>654</v>
      </c>
      <c r="D129" t="s">
        <v>654</v>
      </c>
      <c r="E129" t="s">
        <v>324</v>
      </c>
    </row>
    <row r="130" spans="1:5" x14ac:dyDescent="0.25">
      <c r="A130" t="s">
        <v>325</v>
      </c>
      <c r="B130" t="s">
        <v>42</v>
      </c>
      <c r="C130" t="s">
        <v>22</v>
      </c>
      <c r="D130" t="s">
        <v>326</v>
      </c>
      <c r="E130" t="s">
        <v>327</v>
      </c>
    </row>
    <row r="131" spans="1:5" x14ac:dyDescent="0.25">
      <c r="A131" t="s">
        <v>328</v>
      </c>
      <c r="B131" t="s">
        <v>13</v>
      </c>
      <c r="C131" t="s">
        <v>22</v>
      </c>
      <c r="D131" t="s">
        <v>329</v>
      </c>
      <c r="E131" t="s">
        <v>330</v>
      </c>
    </row>
    <row r="132" spans="1:5" x14ac:dyDescent="0.25">
      <c r="A132" t="s">
        <v>331</v>
      </c>
      <c r="B132" t="s">
        <v>21</v>
      </c>
      <c r="C132" t="s">
        <v>14</v>
      </c>
      <c r="D132" t="s">
        <v>332</v>
      </c>
      <c r="E132" t="s">
        <v>333</v>
      </c>
    </row>
    <row r="133" spans="1:5" x14ac:dyDescent="0.25">
      <c r="A133" t="s">
        <v>334</v>
      </c>
      <c r="B133" t="s">
        <v>13</v>
      </c>
      <c r="C133" t="s">
        <v>27</v>
      </c>
      <c r="D133" t="s">
        <v>654</v>
      </c>
      <c r="E133" t="s">
        <v>335</v>
      </c>
    </row>
    <row r="134" spans="1:5" x14ac:dyDescent="0.25">
      <c r="A134" t="s">
        <v>336</v>
      </c>
      <c r="B134" t="s">
        <v>6</v>
      </c>
      <c r="C134" t="s">
        <v>27</v>
      </c>
      <c r="D134" t="s">
        <v>654</v>
      </c>
      <c r="E134" t="s">
        <v>337</v>
      </c>
    </row>
    <row r="135" spans="1:5" x14ac:dyDescent="0.25">
      <c r="A135" t="s">
        <v>338</v>
      </c>
      <c r="B135" t="s">
        <v>654</v>
      </c>
      <c r="C135" t="s">
        <v>654</v>
      </c>
      <c r="D135" t="s">
        <v>654</v>
      </c>
      <c r="E135" t="s">
        <v>6</v>
      </c>
    </row>
    <row r="136" spans="1:5" x14ac:dyDescent="0.25">
      <c r="A136" t="s">
        <v>339</v>
      </c>
      <c r="B136" t="s">
        <v>654</v>
      </c>
      <c r="C136" t="s">
        <v>654</v>
      </c>
      <c r="D136" t="s">
        <v>654</v>
      </c>
      <c r="E136" t="s">
        <v>340</v>
      </c>
    </row>
    <row r="137" spans="1:5" x14ac:dyDescent="0.25">
      <c r="A137" t="s">
        <v>341</v>
      </c>
      <c r="B137" t="s">
        <v>654</v>
      </c>
      <c r="C137" t="s">
        <v>654</v>
      </c>
      <c r="D137" t="s">
        <v>342</v>
      </c>
      <c r="E137" t="s">
        <v>14</v>
      </c>
    </row>
    <row r="138" spans="1:5" x14ac:dyDescent="0.25">
      <c r="A138" t="s">
        <v>343</v>
      </c>
      <c r="B138" t="s">
        <v>26</v>
      </c>
      <c r="C138" t="s">
        <v>7</v>
      </c>
      <c r="D138" t="s">
        <v>654</v>
      </c>
      <c r="E138" t="s">
        <v>344</v>
      </c>
    </row>
    <row r="139" spans="1:5" x14ac:dyDescent="0.25">
      <c r="A139" t="s">
        <v>345</v>
      </c>
      <c r="B139" t="s">
        <v>64</v>
      </c>
      <c r="C139" t="s">
        <v>22</v>
      </c>
      <c r="D139" t="s">
        <v>654</v>
      </c>
      <c r="E139" t="s">
        <v>346</v>
      </c>
    </row>
    <row r="140" spans="1:5" x14ac:dyDescent="0.25">
      <c r="A140" t="s">
        <v>347</v>
      </c>
      <c r="B140" t="s">
        <v>654</v>
      </c>
      <c r="C140" t="s">
        <v>654</v>
      </c>
      <c r="D140" t="s">
        <v>348</v>
      </c>
      <c r="E140" t="s">
        <v>22</v>
      </c>
    </row>
    <row r="141" spans="1:5" x14ac:dyDescent="0.25">
      <c r="A141" t="s">
        <v>349</v>
      </c>
      <c r="B141" t="s">
        <v>654</v>
      </c>
      <c r="C141" t="s">
        <v>654</v>
      </c>
      <c r="D141" t="s">
        <v>350</v>
      </c>
      <c r="E141" t="s">
        <v>351</v>
      </c>
    </row>
    <row r="142" spans="1:5" x14ac:dyDescent="0.25">
      <c r="A142" t="s">
        <v>352</v>
      </c>
      <c r="B142" t="s">
        <v>21</v>
      </c>
      <c r="C142" t="s">
        <v>22</v>
      </c>
      <c r="D142" t="s">
        <v>98</v>
      </c>
      <c r="E142" t="s">
        <v>353</v>
      </c>
    </row>
    <row r="143" spans="1:5" x14ac:dyDescent="0.25">
      <c r="A143" t="s">
        <v>354</v>
      </c>
      <c r="B143" t="s">
        <v>654</v>
      </c>
      <c r="C143" t="s">
        <v>654</v>
      </c>
      <c r="D143" t="s">
        <v>355</v>
      </c>
      <c r="E143" t="s">
        <v>356</v>
      </c>
    </row>
    <row r="144" spans="1:5" x14ac:dyDescent="0.25">
      <c r="A144" t="s">
        <v>357</v>
      </c>
      <c r="B144" t="s">
        <v>26</v>
      </c>
      <c r="C144" t="s">
        <v>7</v>
      </c>
      <c r="D144" t="s">
        <v>358</v>
      </c>
      <c r="E144" t="s">
        <v>359</v>
      </c>
    </row>
    <row r="145" spans="1:5" x14ac:dyDescent="0.25">
      <c r="A145" t="s">
        <v>360</v>
      </c>
      <c r="B145" t="s">
        <v>26</v>
      </c>
      <c r="C145" t="s">
        <v>7</v>
      </c>
      <c r="D145" t="s">
        <v>361</v>
      </c>
      <c r="E145" t="s">
        <v>362</v>
      </c>
    </row>
    <row r="146" spans="1:5" x14ac:dyDescent="0.25">
      <c r="A146" t="s">
        <v>363</v>
      </c>
      <c r="B146" t="s">
        <v>26</v>
      </c>
      <c r="C146" t="s">
        <v>7</v>
      </c>
      <c r="D146" t="s">
        <v>364</v>
      </c>
      <c r="E146" t="s">
        <v>365</v>
      </c>
    </row>
    <row r="147" spans="1:5" x14ac:dyDescent="0.25">
      <c r="A147" t="s">
        <v>366</v>
      </c>
      <c r="B147" t="s">
        <v>42</v>
      </c>
      <c r="C147" t="s">
        <v>7</v>
      </c>
      <c r="D147" t="s">
        <v>367</v>
      </c>
      <c r="E147" t="s">
        <v>368</v>
      </c>
    </row>
    <row r="148" spans="1:5" x14ac:dyDescent="0.25">
      <c r="A148" t="s">
        <v>369</v>
      </c>
      <c r="B148" t="s">
        <v>6</v>
      </c>
      <c r="C148" t="s">
        <v>7</v>
      </c>
      <c r="D148" t="s">
        <v>654</v>
      </c>
      <c r="E148" t="s">
        <v>370</v>
      </c>
    </row>
    <row r="149" spans="1:5" x14ac:dyDescent="0.25">
      <c r="A149" t="s">
        <v>371</v>
      </c>
      <c r="B149" t="s">
        <v>13</v>
      </c>
      <c r="C149" t="s">
        <v>22</v>
      </c>
      <c r="D149" t="s">
        <v>654</v>
      </c>
      <c r="E149" t="s">
        <v>372</v>
      </c>
    </row>
    <row r="150" spans="1:5" x14ac:dyDescent="0.25">
      <c r="A150" t="s">
        <v>373</v>
      </c>
      <c r="B150" t="s">
        <v>26</v>
      </c>
      <c r="C150" t="s">
        <v>7</v>
      </c>
      <c r="D150" t="s">
        <v>654</v>
      </c>
      <c r="E150" t="s">
        <v>374</v>
      </c>
    </row>
    <row r="151" spans="1:5" x14ac:dyDescent="0.25">
      <c r="A151" t="s">
        <v>375</v>
      </c>
      <c r="B151" t="s">
        <v>26</v>
      </c>
      <c r="C151" t="s">
        <v>27</v>
      </c>
      <c r="D151" t="s">
        <v>376</v>
      </c>
      <c r="E151" t="s">
        <v>377</v>
      </c>
    </row>
    <row r="152" spans="1:5" x14ac:dyDescent="0.25">
      <c r="A152" t="s">
        <v>378</v>
      </c>
      <c r="B152" t="s">
        <v>21</v>
      </c>
      <c r="C152" t="s">
        <v>14</v>
      </c>
      <c r="D152" t="s">
        <v>654</v>
      </c>
      <c r="E152" t="s">
        <v>379</v>
      </c>
    </row>
    <row r="153" spans="1:5" x14ac:dyDescent="0.25">
      <c r="A153" t="s">
        <v>380</v>
      </c>
      <c r="B153" t="s">
        <v>64</v>
      </c>
      <c r="C153" t="s">
        <v>27</v>
      </c>
      <c r="D153" t="s">
        <v>654</v>
      </c>
      <c r="E153" t="s">
        <v>381</v>
      </c>
    </row>
    <row r="154" spans="1:5" x14ac:dyDescent="0.25">
      <c r="A154" t="s">
        <v>382</v>
      </c>
      <c r="B154" t="s">
        <v>654</v>
      </c>
      <c r="C154" t="s">
        <v>654</v>
      </c>
      <c r="D154" t="s">
        <v>383</v>
      </c>
      <c r="E154" t="s">
        <v>13</v>
      </c>
    </row>
    <row r="155" spans="1:5" x14ac:dyDescent="0.25">
      <c r="A155" t="s">
        <v>384</v>
      </c>
      <c r="B155" t="s">
        <v>6</v>
      </c>
      <c r="C155" t="s">
        <v>27</v>
      </c>
      <c r="D155" t="s">
        <v>654</v>
      </c>
      <c r="E155" t="s">
        <v>385</v>
      </c>
    </row>
    <row r="156" spans="1:5" x14ac:dyDescent="0.25">
      <c r="A156" t="s">
        <v>386</v>
      </c>
      <c r="B156" t="s">
        <v>42</v>
      </c>
      <c r="C156" t="s">
        <v>27</v>
      </c>
      <c r="D156" t="s">
        <v>387</v>
      </c>
      <c r="E156" t="s">
        <v>388</v>
      </c>
    </row>
    <row r="157" spans="1:5" x14ac:dyDescent="0.25">
      <c r="A157" t="s">
        <v>389</v>
      </c>
      <c r="B157" t="s">
        <v>654</v>
      </c>
      <c r="C157" t="s">
        <v>654</v>
      </c>
      <c r="D157" t="s">
        <v>390</v>
      </c>
      <c r="E157" t="s">
        <v>391</v>
      </c>
    </row>
    <row r="158" spans="1:5" x14ac:dyDescent="0.25">
      <c r="A158" t="s">
        <v>392</v>
      </c>
      <c r="B158" t="s">
        <v>26</v>
      </c>
      <c r="C158" t="s">
        <v>27</v>
      </c>
      <c r="D158" t="s">
        <v>654</v>
      </c>
      <c r="E158" t="s">
        <v>393</v>
      </c>
    </row>
    <row r="159" spans="1:5" x14ac:dyDescent="0.25">
      <c r="A159" t="s">
        <v>394</v>
      </c>
      <c r="B159" t="s">
        <v>21</v>
      </c>
      <c r="C159" t="s">
        <v>14</v>
      </c>
      <c r="D159" t="s">
        <v>654</v>
      </c>
      <c r="E159" t="s">
        <v>395</v>
      </c>
    </row>
    <row r="160" spans="1:5" x14ac:dyDescent="0.25">
      <c r="A160" t="s">
        <v>396</v>
      </c>
      <c r="B160" t="s">
        <v>13</v>
      </c>
      <c r="C160" t="s">
        <v>7</v>
      </c>
      <c r="D160" t="s">
        <v>397</v>
      </c>
      <c r="E160" t="s">
        <v>398</v>
      </c>
    </row>
    <row r="161" spans="1:5" ht="90" x14ac:dyDescent="0.25">
      <c r="A161" t="s">
        <v>399</v>
      </c>
      <c r="B161" t="s">
        <v>42</v>
      </c>
      <c r="C161" t="s">
        <v>22</v>
      </c>
      <c r="D161" s="1" t="s">
        <v>400</v>
      </c>
      <c r="E161" t="s">
        <v>401</v>
      </c>
    </row>
    <row r="162" spans="1:5" x14ac:dyDescent="0.25">
      <c r="A162" t="s">
        <v>402</v>
      </c>
      <c r="B162" t="s">
        <v>654</v>
      </c>
      <c r="C162" t="s">
        <v>654</v>
      </c>
      <c r="D162" t="s">
        <v>403</v>
      </c>
      <c r="E162" t="s">
        <v>404</v>
      </c>
    </row>
    <row r="163" spans="1:5" x14ac:dyDescent="0.25">
      <c r="A163" t="s">
        <v>405</v>
      </c>
      <c r="B163" t="s">
        <v>26</v>
      </c>
      <c r="C163" t="s">
        <v>27</v>
      </c>
      <c r="D163" t="s">
        <v>406</v>
      </c>
      <c r="E163" t="s">
        <v>407</v>
      </c>
    </row>
    <row r="164" spans="1:5" x14ac:dyDescent="0.25">
      <c r="A164" t="s">
        <v>408</v>
      </c>
      <c r="B164" t="s">
        <v>42</v>
      </c>
      <c r="C164" t="s">
        <v>27</v>
      </c>
      <c r="D164" t="s">
        <v>409</v>
      </c>
      <c r="E164" t="s">
        <v>410</v>
      </c>
    </row>
    <row r="165" spans="1:5" x14ac:dyDescent="0.25">
      <c r="A165" t="s">
        <v>411</v>
      </c>
      <c r="B165" t="s">
        <v>42</v>
      </c>
      <c r="C165" t="s">
        <v>7</v>
      </c>
      <c r="D165" t="s">
        <v>654</v>
      </c>
      <c r="E165" t="s">
        <v>412</v>
      </c>
    </row>
    <row r="166" spans="1:5" x14ac:dyDescent="0.25">
      <c r="A166" t="s">
        <v>413</v>
      </c>
      <c r="B166" t="s">
        <v>21</v>
      </c>
      <c r="C166" t="s">
        <v>14</v>
      </c>
      <c r="D166" t="s">
        <v>654</v>
      </c>
      <c r="E166" t="s">
        <v>414</v>
      </c>
    </row>
    <row r="167" spans="1:5" x14ac:dyDescent="0.25">
      <c r="A167" t="s">
        <v>415</v>
      </c>
      <c r="B167" t="s">
        <v>21</v>
      </c>
      <c r="C167" t="s">
        <v>22</v>
      </c>
      <c r="D167" t="s">
        <v>416</v>
      </c>
      <c r="E167" t="s">
        <v>417</v>
      </c>
    </row>
    <row r="168" spans="1:5" x14ac:dyDescent="0.25">
      <c r="A168" t="s">
        <v>418</v>
      </c>
      <c r="B168" t="s">
        <v>21</v>
      </c>
      <c r="C168" t="s">
        <v>27</v>
      </c>
      <c r="D168" t="s">
        <v>654</v>
      </c>
      <c r="E168" t="s">
        <v>419</v>
      </c>
    </row>
    <row r="169" spans="1:5" x14ac:dyDescent="0.25">
      <c r="A169" t="s">
        <v>420</v>
      </c>
      <c r="B169" t="s">
        <v>21</v>
      </c>
      <c r="C169" t="s">
        <v>14</v>
      </c>
      <c r="D169" t="s">
        <v>654</v>
      </c>
      <c r="E169" t="s">
        <v>421</v>
      </c>
    </row>
    <row r="170" spans="1:5" x14ac:dyDescent="0.25">
      <c r="A170" t="s">
        <v>422</v>
      </c>
      <c r="B170" t="s">
        <v>42</v>
      </c>
      <c r="C170" t="s">
        <v>27</v>
      </c>
      <c r="D170" t="s">
        <v>654</v>
      </c>
      <c r="E170" t="s">
        <v>423</v>
      </c>
    </row>
    <row r="171" spans="1:5" x14ac:dyDescent="0.25">
      <c r="A171" t="s">
        <v>424</v>
      </c>
      <c r="B171" t="s">
        <v>654</v>
      </c>
      <c r="C171" t="s">
        <v>654</v>
      </c>
      <c r="D171" t="s">
        <v>425</v>
      </c>
      <c r="E171" t="s">
        <v>81</v>
      </c>
    </row>
    <row r="172" spans="1:5" x14ac:dyDescent="0.25">
      <c r="A172" t="s">
        <v>426</v>
      </c>
      <c r="B172" t="s">
        <v>21</v>
      </c>
      <c r="C172" t="s">
        <v>22</v>
      </c>
      <c r="D172" t="s">
        <v>98</v>
      </c>
      <c r="E172" t="s">
        <v>427</v>
      </c>
    </row>
    <row r="173" spans="1:5" x14ac:dyDescent="0.25">
      <c r="A173" t="s">
        <v>428</v>
      </c>
      <c r="B173" t="s">
        <v>42</v>
      </c>
      <c r="C173" t="s">
        <v>7</v>
      </c>
      <c r="D173" t="s">
        <v>654</v>
      </c>
      <c r="E173" t="s">
        <v>429</v>
      </c>
    </row>
    <row r="174" spans="1:5" x14ac:dyDescent="0.25">
      <c r="A174" t="s">
        <v>430</v>
      </c>
      <c r="B174" t="s">
        <v>21</v>
      </c>
      <c r="C174" t="s">
        <v>14</v>
      </c>
      <c r="D174" t="s">
        <v>654</v>
      </c>
      <c r="E174" t="s">
        <v>431</v>
      </c>
    </row>
    <row r="175" spans="1:5" x14ac:dyDescent="0.25">
      <c r="A175" t="s">
        <v>432</v>
      </c>
      <c r="B175" t="s">
        <v>21</v>
      </c>
      <c r="C175" t="s">
        <v>22</v>
      </c>
      <c r="D175" t="s">
        <v>433</v>
      </c>
      <c r="E175" t="s">
        <v>434</v>
      </c>
    </row>
    <row r="176" spans="1:5" x14ac:dyDescent="0.25">
      <c r="A176" t="s">
        <v>435</v>
      </c>
      <c r="B176" t="s">
        <v>6</v>
      </c>
      <c r="C176" t="s">
        <v>22</v>
      </c>
      <c r="D176" t="s">
        <v>436</v>
      </c>
      <c r="E176" t="s">
        <v>437</v>
      </c>
    </row>
    <row r="177" spans="1:5" x14ac:dyDescent="0.25">
      <c r="A177" t="s">
        <v>438</v>
      </c>
      <c r="B177" t="s">
        <v>26</v>
      </c>
      <c r="C177" t="s">
        <v>7</v>
      </c>
      <c r="D177" t="s">
        <v>439</v>
      </c>
      <c r="E177" t="s">
        <v>440</v>
      </c>
    </row>
    <row r="178" spans="1:5" x14ac:dyDescent="0.25">
      <c r="A178" t="s">
        <v>441</v>
      </c>
      <c r="B178" t="s">
        <v>26</v>
      </c>
      <c r="C178" t="s">
        <v>7</v>
      </c>
      <c r="D178" t="s">
        <v>654</v>
      </c>
      <c r="E178" t="s">
        <v>442</v>
      </c>
    </row>
    <row r="179" spans="1:5" x14ac:dyDescent="0.25">
      <c r="A179" t="s">
        <v>443</v>
      </c>
      <c r="B179" t="s">
        <v>64</v>
      </c>
      <c r="C179" t="s">
        <v>22</v>
      </c>
      <c r="D179" t="s">
        <v>444</v>
      </c>
      <c r="E179" t="s">
        <v>445</v>
      </c>
    </row>
    <row r="180" spans="1:5" x14ac:dyDescent="0.25">
      <c r="A180" t="s">
        <v>446</v>
      </c>
      <c r="B180" t="s">
        <v>42</v>
      </c>
      <c r="C180" t="s">
        <v>7</v>
      </c>
      <c r="D180" t="s">
        <v>65</v>
      </c>
      <c r="E180" t="s">
        <v>447</v>
      </c>
    </row>
    <row r="181" spans="1:5" x14ac:dyDescent="0.25">
      <c r="A181" t="s">
        <v>448</v>
      </c>
      <c r="B181" t="s">
        <v>42</v>
      </c>
      <c r="C181" t="s">
        <v>7</v>
      </c>
      <c r="D181" t="s">
        <v>98</v>
      </c>
      <c r="E181" t="s">
        <v>449</v>
      </c>
    </row>
    <row r="182" spans="1:5" x14ac:dyDescent="0.25">
      <c r="A182" t="s">
        <v>450</v>
      </c>
      <c r="B182" t="s">
        <v>654</v>
      </c>
      <c r="C182" t="s">
        <v>654</v>
      </c>
      <c r="D182" t="s">
        <v>654</v>
      </c>
      <c r="E182" t="s">
        <v>451</v>
      </c>
    </row>
    <row r="183" spans="1:5" x14ac:dyDescent="0.25">
      <c r="A183" t="s">
        <v>452</v>
      </c>
      <c r="B183" t="s">
        <v>13</v>
      </c>
      <c r="C183" t="s">
        <v>7</v>
      </c>
      <c r="D183" t="s">
        <v>654</v>
      </c>
      <c r="E183" t="s">
        <v>453</v>
      </c>
    </row>
    <row r="184" spans="1:5" x14ac:dyDescent="0.25">
      <c r="A184" t="s">
        <v>454</v>
      </c>
      <c r="B184" t="s">
        <v>654</v>
      </c>
      <c r="C184" t="s">
        <v>654</v>
      </c>
      <c r="D184" t="s">
        <v>455</v>
      </c>
      <c r="E184" t="s">
        <v>456</v>
      </c>
    </row>
    <row r="185" spans="1:5" x14ac:dyDescent="0.25">
      <c r="A185" t="s">
        <v>457</v>
      </c>
      <c r="B185" t="s">
        <v>13</v>
      </c>
      <c r="C185" t="s">
        <v>22</v>
      </c>
      <c r="D185" t="s">
        <v>65</v>
      </c>
      <c r="E185" t="s">
        <v>458</v>
      </c>
    </row>
    <row r="186" spans="1:5" x14ac:dyDescent="0.25">
      <c r="A186" t="s">
        <v>459</v>
      </c>
      <c r="B186" t="s">
        <v>6</v>
      </c>
      <c r="C186" t="s">
        <v>7</v>
      </c>
      <c r="D186" t="s">
        <v>654</v>
      </c>
      <c r="E186" t="s">
        <v>460</v>
      </c>
    </row>
    <row r="187" spans="1:5" x14ac:dyDescent="0.25">
      <c r="A187" t="s">
        <v>461</v>
      </c>
      <c r="B187" t="s">
        <v>6</v>
      </c>
      <c r="C187" t="s">
        <v>27</v>
      </c>
      <c r="D187" t="s">
        <v>462</v>
      </c>
      <c r="E187" t="s">
        <v>463</v>
      </c>
    </row>
    <row r="188" spans="1:5" x14ac:dyDescent="0.25">
      <c r="A188" t="s">
        <v>464</v>
      </c>
      <c r="B188" t="s">
        <v>42</v>
      </c>
      <c r="C188" t="s">
        <v>22</v>
      </c>
      <c r="D188" t="s">
        <v>654</v>
      </c>
      <c r="E188" t="s">
        <v>465</v>
      </c>
    </row>
    <row r="189" spans="1:5" x14ac:dyDescent="0.25">
      <c r="A189" t="s">
        <v>466</v>
      </c>
      <c r="B189" t="s">
        <v>42</v>
      </c>
      <c r="C189" t="s">
        <v>7</v>
      </c>
      <c r="D189" t="s">
        <v>387</v>
      </c>
      <c r="E189" t="s">
        <v>467</v>
      </c>
    </row>
    <row r="190" spans="1:5" x14ac:dyDescent="0.25">
      <c r="A190" t="s">
        <v>468</v>
      </c>
      <c r="B190" t="s">
        <v>42</v>
      </c>
      <c r="C190" t="s">
        <v>22</v>
      </c>
      <c r="D190" t="s">
        <v>654</v>
      </c>
      <c r="E190" t="s">
        <v>469</v>
      </c>
    </row>
    <row r="191" spans="1:5" x14ac:dyDescent="0.25">
      <c r="A191" t="s">
        <v>470</v>
      </c>
      <c r="B191" t="s">
        <v>26</v>
      </c>
      <c r="C191" t="s">
        <v>7</v>
      </c>
      <c r="D191" t="s">
        <v>654</v>
      </c>
      <c r="E191" t="s">
        <v>471</v>
      </c>
    </row>
    <row r="192" spans="1:5" x14ac:dyDescent="0.25">
      <c r="A192" t="s">
        <v>472</v>
      </c>
      <c r="B192" t="s">
        <v>654</v>
      </c>
      <c r="C192" t="s">
        <v>654</v>
      </c>
      <c r="D192" t="s">
        <v>473</v>
      </c>
      <c r="E192" t="s">
        <v>474</v>
      </c>
    </row>
    <row r="193" spans="1:5" x14ac:dyDescent="0.25">
      <c r="A193" t="s">
        <v>475</v>
      </c>
      <c r="B193" t="s">
        <v>6</v>
      </c>
      <c r="C193" t="s">
        <v>7</v>
      </c>
      <c r="D193" t="s">
        <v>476</v>
      </c>
      <c r="E193" t="s">
        <v>477</v>
      </c>
    </row>
    <row r="194" spans="1:5" x14ac:dyDescent="0.25">
      <c r="A194" t="s">
        <v>478</v>
      </c>
      <c r="B194" t="s">
        <v>42</v>
      </c>
      <c r="C194" t="s">
        <v>14</v>
      </c>
      <c r="D194" t="s">
        <v>654</v>
      </c>
      <c r="E194" t="s">
        <v>479</v>
      </c>
    </row>
    <row r="195" spans="1:5" x14ac:dyDescent="0.25">
      <c r="A195" t="s">
        <v>480</v>
      </c>
      <c r="B195" t="s">
        <v>26</v>
      </c>
      <c r="C195" t="s">
        <v>7</v>
      </c>
      <c r="D195" t="s">
        <v>481</v>
      </c>
      <c r="E195" t="s">
        <v>482</v>
      </c>
    </row>
    <row r="196" spans="1:5" x14ac:dyDescent="0.25">
      <c r="A196" t="s">
        <v>483</v>
      </c>
      <c r="B196" t="s">
        <v>6</v>
      </c>
      <c r="C196" t="s">
        <v>27</v>
      </c>
      <c r="D196" t="s">
        <v>484</v>
      </c>
      <c r="E196" t="s">
        <v>485</v>
      </c>
    </row>
    <row r="197" spans="1:5" x14ac:dyDescent="0.25">
      <c r="A197" t="s">
        <v>486</v>
      </c>
      <c r="B197" t="s">
        <v>13</v>
      </c>
      <c r="C197" t="s">
        <v>22</v>
      </c>
      <c r="D197" t="s">
        <v>332</v>
      </c>
      <c r="E197" t="s">
        <v>487</v>
      </c>
    </row>
    <row r="198" spans="1:5" x14ac:dyDescent="0.25">
      <c r="A198" t="s">
        <v>488</v>
      </c>
      <c r="B198" t="s">
        <v>654</v>
      </c>
      <c r="C198" t="s">
        <v>654</v>
      </c>
      <c r="D198" t="s">
        <v>489</v>
      </c>
      <c r="E198" t="s">
        <v>490</v>
      </c>
    </row>
    <row r="199" spans="1:5" x14ac:dyDescent="0.25">
      <c r="A199" t="s">
        <v>491</v>
      </c>
      <c r="B199" t="s">
        <v>654</v>
      </c>
      <c r="C199" t="s">
        <v>654</v>
      </c>
      <c r="D199" t="s">
        <v>492</v>
      </c>
      <c r="E199" t="s">
        <v>493</v>
      </c>
    </row>
    <row r="200" spans="1:5" x14ac:dyDescent="0.25">
      <c r="A200" t="s">
        <v>494</v>
      </c>
      <c r="B200" t="s">
        <v>42</v>
      </c>
      <c r="C200" t="s">
        <v>7</v>
      </c>
      <c r="D200" t="s">
        <v>654</v>
      </c>
      <c r="E200" t="s">
        <v>495</v>
      </c>
    </row>
    <row r="201" spans="1:5" x14ac:dyDescent="0.25">
      <c r="A201" t="s">
        <v>496</v>
      </c>
      <c r="B201" t="s">
        <v>13</v>
      </c>
      <c r="C201" t="s">
        <v>7</v>
      </c>
      <c r="D201" t="s">
        <v>654</v>
      </c>
      <c r="E201" t="s">
        <v>497</v>
      </c>
    </row>
    <row r="202" spans="1:5" x14ac:dyDescent="0.25">
      <c r="A202" t="s">
        <v>498</v>
      </c>
      <c r="B202" t="s">
        <v>26</v>
      </c>
      <c r="C202" t="s">
        <v>7</v>
      </c>
      <c r="D202" t="s">
        <v>499</v>
      </c>
      <c r="E202" t="s">
        <v>500</v>
      </c>
    </row>
    <row r="203" spans="1:5" x14ac:dyDescent="0.25">
      <c r="A203" t="s">
        <v>501</v>
      </c>
      <c r="B203" t="s">
        <v>26</v>
      </c>
      <c r="C203" t="s">
        <v>7</v>
      </c>
      <c r="D203" t="s">
        <v>654</v>
      </c>
      <c r="E203" t="s">
        <v>502</v>
      </c>
    </row>
    <row r="204" spans="1:5" x14ac:dyDescent="0.25">
      <c r="A204" t="s">
        <v>503</v>
      </c>
      <c r="B204" t="s">
        <v>21</v>
      </c>
      <c r="C204" t="s">
        <v>14</v>
      </c>
      <c r="D204" t="s">
        <v>654</v>
      </c>
      <c r="E204" t="s">
        <v>504</v>
      </c>
    </row>
    <row r="205" spans="1:5" x14ac:dyDescent="0.25">
      <c r="A205" t="s">
        <v>505</v>
      </c>
      <c r="B205" t="s">
        <v>654</v>
      </c>
      <c r="C205" t="s">
        <v>654</v>
      </c>
      <c r="D205" t="s">
        <v>506</v>
      </c>
      <c r="E205" t="s">
        <v>64</v>
      </c>
    </row>
    <row r="206" spans="1:5" x14ac:dyDescent="0.25">
      <c r="A206" t="s">
        <v>507</v>
      </c>
      <c r="B206" t="s">
        <v>13</v>
      </c>
      <c r="C206" t="s">
        <v>7</v>
      </c>
      <c r="D206" t="s">
        <v>654</v>
      </c>
      <c r="E206" t="s">
        <v>508</v>
      </c>
    </row>
    <row r="207" spans="1:5" x14ac:dyDescent="0.25">
      <c r="A207" t="s">
        <v>509</v>
      </c>
      <c r="B207" t="s">
        <v>21</v>
      </c>
      <c r="C207" t="s">
        <v>14</v>
      </c>
      <c r="D207" t="s">
        <v>510</v>
      </c>
      <c r="E207" t="s">
        <v>511</v>
      </c>
    </row>
    <row r="208" spans="1:5" x14ac:dyDescent="0.25">
      <c r="A208" t="s">
        <v>512</v>
      </c>
      <c r="B208" t="s">
        <v>21</v>
      </c>
      <c r="C208" t="s">
        <v>22</v>
      </c>
      <c r="D208" t="s">
        <v>654</v>
      </c>
      <c r="E208" t="s">
        <v>513</v>
      </c>
    </row>
    <row r="209" spans="1:5" x14ac:dyDescent="0.25">
      <c r="A209" t="s">
        <v>514</v>
      </c>
      <c r="B209" t="s">
        <v>42</v>
      </c>
      <c r="C209" t="s">
        <v>7</v>
      </c>
      <c r="D209" t="s">
        <v>98</v>
      </c>
      <c r="E209" t="s">
        <v>515</v>
      </c>
    </row>
    <row r="210" spans="1:5" x14ac:dyDescent="0.25">
      <c r="A210" t="s">
        <v>516</v>
      </c>
      <c r="B210" t="s">
        <v>42</v>
      </c>
      <c r="C210" t="s">
        <v>22</v>
      </c>
      <c r="D210" t="s">
        <v>654</v>
      </c>
      <c r="E210" t="s">
        <v>517</v>
      </c>
    </row>
    <row r="211" spans="1:5" x14ac:dyDescent="0.25">
      <c r="A211" t="s">
        <v>518</v>
      </c>
      <c r="B211" t="s">
        <v>21</v>
      </c>
      <c r="C211" t="s">
        <v>14</v>
      </c>
      <c r="D211" t="s">
        <v>654</v>
      </c>
      <c r="E211" t="s">
        <v>519</v>
      </c>
    </row>
    <row r="212" spans="1:5" x14ac:dyDescent="0.25">
      <c r="A212" t="s">
        <v>520</v>
      </c>
      <c r="B212" t="s">
        <v>6</v>
      </c>
      <c r="C212" t="s">
        <v>27</v>
      </c>
      <c r="D212" t="s">
        <v>654</v>
      </c>
      <c r="E212" t="s">
        <v>521</v>
      </c>
    </row>
    <row r="213" spans="1:5" x14ac:dyDescent="0.25">
      <c r="A213" t="s">
        <v>522</v>
      </c>
      <c r="B213" t="s">
        <v>26</v>
      </c>
      <c r="C213" t="s">
        <v>7</v>
      </c>
      <c r="D213" t="s">
        <v>654</v>
      </c>
      <c r="E213" t="s">
        <v>523</v>
      </c>
    </row>
    <row r="214" spans="1:5" x14ac:dyDescent="0.25">
      <c r="A214" t="s">
        <v>524</v>
      </c>
      <c r="B214" t="s">
        <v>21</v>
      </c>
      <c r="C214" t="s">
        <v>14</v>
      </c>
      <c r="D214" t="s">
        <v>525</v>
      </c>
      <c r="E214" t="s">
        <v>526</v>
      </c>
    </row>
    <row r="215" spans="1:5" x14ac:dyDescent="0.25">
      <c r="A215" t="s">
        <v>527</v>
      </c>
      <c r="B215" t="s">
        <v>26</v>
      </c>
      <c r="C215" t="s">
        <v>27</v>
      </c>
      <c r="D215" t="s">
        <v>528</v>
      </c>
      <c r="E215" t="s">
        <v>529</v>
      </c>
    </row>
    <row r="216" spans="1:5" x14ac:dyDescent="0.25">
      <c r="A216" t="s">
        <v>530</v>
      </c>
      <c r="B216" t="s">
        <v>654</v>
      </c>
      <c r="C216" t="s">
        <v>654</v>
      </c>
      <c r="D216" t="s">
        <v>654</v>
      </c>
      <c r="E216" t="s">
        <v>531</v>
      </c>
    </row>
    <row r="217" spans="1:5" x14ac:dyDescent="0.25">
      <c r="A217" t="s">
        <v>532</v>
      </c>
      <c r="B217" t="s">
        <v>21</v>
      </c>
      <c r="C217" t="s">
        <v>14</v>
      </c>
      <c r="D217" t="s">
        <v>65</v>
      </c>
      <c r="E217" t="s">
        <v>533</v>
      </c>
    </row>
    <row r="218" spans="1:5" x14ac:dyDescent="0.25">
      <c r="A218" t="s">
        <v>534</v>
      </c>
      <c r="B218" t="s">
        <v>654</v>
      </c>
      <c r="C218" t="s">
        <v>654</v>
      </c>
      <c r="D218" t="s">
        <v>535</v>
      </c>
      <c r="E218" t="s">
        <v>21</v>
      </c>
    </row>
    <row r="219" spans="1:5" x14ac:dyDescent="0.25">
      <c r="A219" t="s">
        <v>536</v>
      </c>
      <c r="B219" t="s">
        <v>654</v>
      </c>
      <c r="C219" t="s">
        <v>654</v>
      </c>
      <c r="D219" t="s">
        <v>537</v>
      </c>
      <c r="E219" t="s">
        <v>538</v>
      </c>
    </row>
    <row r="220" spans="1:5" x14ac:dyDescent="0.25">
      <c r="A220" t="s">
        <v>539</v>
      </c>
      <c r="B220" t="s">
        <v>21</v>
      </c>
      <c r="C220" t="s">
        <v>22</v>
      </c>
      <c r="D220" t="s">
        <v>540</v>
      </c>
      <c r="E220" t="s">
        <v>541</v>
      </c>
    </row>
    <row r="221" spans="1:5" x14ac:dyDescent="0.25">
      <c r="A221" t="s">
        <v>542</v>
      </c>
      <c r="B221" t="s">
        <v>6</v>
      </c>
      <c r="C221" t="s">
        <v>27</v>
      </c>
      <c r="D221" t="s">
        <v>543</v>
      </c>
      <c r="E221" t="s">
        <v>544</v>
      </c>
    </row>
    <row r="222" spans="1:5" x14ac:dyDescent="0.25">
      <c r="A222" t="s">
        <v>545</v>
      </c>
      <c r="B222" t="s">
        <v>26</v>
      </c>
      <c r="C222" t="s">
        <v>7</v>
      </c>
      <c r="D222" t="s">
        <v>546</v>
      </c>
      <c r="E222" t="s">
        <v>547</v>
      </c>
    </row>
    <row r="223" spans="1:5" x14ac:dyDescent="0.25">
      <c r="A223" t="s">
        <v>548</v>
      </c>
      <c r="B223" t="s">
        <v>26</v>
      </c>
      <c r="C223" t="s">
        <v>7</v>
      </c>
      <c r="D223" t="s">
        <v>549</v>
      </c>
      <c r="E223" t="s">
        <v>550</v>
      </c>
    </row>
    <row r="224" spans="1:5" x14ac:dyDescent="0.25">
      <c r="A224" t="s">
        <v>551</v>
      </c>
      <c r="B224" t="s">
        <v>26</v>
      </c>
      <c r="C224" t="s">
        <v>7</v>
      </c>
      <c r="D224" t="s">
        <v>308</v>
      </c>
      <c r="E224" t="s">
        <v>552</v>
      </c>
    </row>
    <row r="225" spans="1:5" x14ac:dyDescent="0.25">
      <c r="A225" t="s">
        <v>553</v>
      </c>
      <c r="B225" t="s">
        <v>21</v>
      </c>
      <c r="C225" t="s">
        <v>22</v>
      </c>
      <c r="D225" t="s">
        <v>554</v>
      </c>
      <c r="E225" t="s">
        <v>555</v>
      </c>
    </row>
    <row r="226" spans="1:5" x14ac:dyDescent="0.25">
      <c r="A226" t="s">
        <v>556</v>
      </c>
      <c r="B226" t="s">
        <v>6</v>
      </c>
      <c r="C226" t="s">
        <v>7</v>
      </c>
      <c r="D226" t="s">
        <v>654</v>
      </c>
      <c r="E226" t="s">
        <v>557</v>
      </c>
    </row>
    <row r="227" spans="1:5" x14ac:dyDescent="0.25">
      <c r="A227" t="s">
        <v>558</v>
      </c>
      <c r="B227" t="s">
        <v>21</v>
      </c>
      <c r="C227" t="s">
        <v>7</v>
      </c>
      <c r="D227" t="s">
        <v>654</v>
      </c>
      <c r="E227" t="s">
        <v>559</v>
      </c>
    </row>
    <row r="228" spans="1:5" x14ac:dyDescent="0.25">
      <c r="A228" t="s">
        <v>560</v>
      </c>
      <c r="B228" t="s">
        <v>13</v>
      </c>
      <c r="C228" t="s">
        <v>14</v>
      </c>
      <c r="D228" t="s">
        <v>561</v>
      </c>
      <c r="E228" t="s">
        <v>562</v>
      </c>
    </row>
    <row r="229" spans="1:5" x14ac:dyDescent="0.25">
      <c r="A229" t="s">
        <v>563</v>
      </c>
      <c r="B229" t="s">
        <v>6</v>
      </c>
      <c r="C229" t="s">
        <v>7</v>
      </c>
      <c r="D229" t="s">
        <v>654</v>
      </c>
      <c r="E229" t="s">
        <v>564</v>
      </c>
    </row>
    <row r="230" spans="1:5" x14ac:dyDescent="0.25">
      <c r="A230" t="s">
        <v>565</v>
      </c>
      <c r="B230" t="s">
        <v>21</v>
      </c>
      <c r="C230" t="s">
        <v>14</v>
      </c>
      <c r="D230" t="s">
        <v>654</v>
      </c>
      <c r="E230" t="s">
        <v>566</v>
      </c>
    </row>
    <row r="231" spans="1:5" x14ac:dyDescent="0.25">
      <c r="A231" t="s">
        <v>567</v>
      </c>
      <c r="B231" t="s">
        <v>654</v>
      </c>
      <c r="C231" t="s">
        <v>654</v>
      </c>
      <c r="D231" t="s">
        <v>568</v>
      </c>
      <c r="E231" t="s">
        <v>569</v>
      </c>
    </row>
    <row r="232" spans="1:5" x14ac:dyDescent="0.25">
      <c r="A232" t="s">
        <v>570</v>
      </c>
      <c r="B232" t="s">
        <v>654</v>
      </c>
      <c r="C232" t="s">
        <v>654</v>
      </c>
      <c r="D232" t="s">
        <v>571</v>
      </c>
      <c r="E232" t="s">
        <v>572</v>
      </c>
    </row>
    <row r="233" spans="1:5" x14ac:dyDescent="0.25">
      <c r="A233" t="s">
        <v>573</v>
      </c>
      <c r="B233" t="s">
        <v>21</v>
      </c>
      <c r="C233" t="s">
        <v>14</v>
      </c>
      <c r="D233" t="s">
        <v>654</v>
      </c>
      <c r="E233" t="s">
        <v>574</v>
      </c>
    </row>
    <row r="234" spans="1:5" x14ac:dyDescent="0.25">
      <c r="A234" t="s">
        <v>575</v>
      </c>
      <c r="B234" t="s">
        <v>42</v>
      </c>
      <c r="C234" t="s">
        <v>27</v>
      </c>
      <c r="D234" t="s">
        <v>576</v>
      </c>
      <c r="E234" t="s">
        <v>577</v>
      </c>
    </row>
    <row r="235" spans="1:5" x14ac:dyDescent="0.25">
      <c r="A235" t="s">
        <v>578</v>
      </c>
      <c r="B235" t="s">
        <v>26</v>
      </c>
      <c r="C235" t="s">
        <v>22</v>
      </c>
      <c r="D235" t="s">
        <v>654</v>
      </c>
      <c r="E235" t="s">
        <v>579</v>
      </c>
    </row>
    <row r="236" spans="1:5" x14ac:dyDescent="0.25">
      <c r="A236" t="s">
        <v>580</v>
      </c>
      <c r="B236" t="s">
        <v>26</v>
      </c>
      <c r="C236" t="s">
        <v>27</v>
      </c>
      <c r="D236" t="s">
        <v>654</v>
      </c>
      <c r="E236" t="s">
        <v>581</v>
      </c>
    </row>
    <row r="237" spans="1:5" x14ac:dyDescent="0.25">
      <c r="A237" t="s">
        <v>582</v>
      </c>
      <c r="B237" t="s">
        <v>654</v>
      </c>
      <c r="C237" t="s">
        <v>654</v>
      </c>
      <c r="D237" t="s">
        <v>583</v>
      </c>
      <c r="E237" t="s">
        <v>584</v>
      </c>
    </row>
    <row r="238" spans="1:5" x14ac:dyDescent="0.25">
      <c r="A238" t="s">
        <v>585</v>
      </c>
      <c r="B238" t="s">
        <v>42</v>
      </c>
      <c r="C238" t="s">
        <v>22</v>
      </c>
      <c r="D238" t="s">
        <v>654</v>
      </c>
      <c r="E238" t="s">
        <v>586</v>
      </c>
    </row>
    <row r="239" spans="1:5" x14ac:dyDescent="0.25">
      <c r="A239" t="s">
        <v>587</v>
      </c>
      <c r="B239" t="s">
        <v>654</v>
      </c>
      <c r="C239" t="s">
        <v>654</v>
      </c>
      <c r="D239" t="s">
        <v>588</v>
      </c>
      <c r="E239" t="s">
        <v>589</v>
      </c>
    </row>
    <row r="240" spans="1:5" x14ac:dyDescent="0.25">
      <c r="A240" t="s">
        <v>590</v>
      </c>
      <c r="B240" t="s">
        <v>42</v>
      </c>
      <c r="C240" t="s">
        <v>27</v>
      </c>
      <c r="D240" t="s">
        <v>65</v>
      </c>
      <c r="E240" t="s">
        <v>591</v>
      </c>
    </row>
    <row r="241" spans="1:5" x14ac:dyDescent="0.25">
      <c r="A241" t="s">
        <v>592</v>
      </c>
      <c r="B241" t="s">
        <v>654</v>
      </c>
      <c r="C241" t="s">
        <v>654</v>
      </c>
      <c r="D241" t="s">
        <v>593</v>
      </c>
      <c r="E241" t="s">
        <v>594</v>
      </c>
    </row>
    <row r="242" spans="1:5" x14ac:dyDescent="0.25">
      <c r="A242" t="s">
        <v>595</v>
      </c>
      <c r="B242" t="s">
        <v>654</v>
      </c>
      <c r="C242" t="s">
        <v>654</v>
      </c>
      <c r="D242" t="s">
        <v>596</v>
      </c>
      <c r="E242" t="s">
        <v>597</v>
      </c>
    </row>
    <row r="243" spans="1:5" x14ac:dyDescent="0.25">
      <c r="A243" t="s">
        <v>598</v>
      </c>
      <c r="B243" t="s">
        <v>6</v>
      </c>
      <c r="C243" t="s">
        <v>7</v>
      </c>
      <c r="D243" t="s">
        <v>654</v>
      </c>
      <c r="E243" t="s">
        <v>599</v>
      </c>
    </row>
    <row r="244" spans="1:5" x14ac:dyDescent="0.25">
      <c r="A244" t="s">
        <v>600</v>
      </c>
      <c r="B244" t="s">
        <v>13</v>
      </c>
      <c r="C244" t="s">
        <v>22</v>
      </c>
      <c r="D244" t="s">
        <v>654</v>
      </c>
      <c r="E244" t="s">
        <v>601</v>
      </c>
    </row>
    <row r="245" spans="1:5" x14ac:dyDescent="0.25">
      <c r="A245" t="s">
        <v>602</v>
      </c>
      <c r="B245" t="s">
        <v>26</v>
      </c>
      <c r="C245" t="s">
        <v>27</v>
      </c>
      <c r="D245" t="s">
        <v>654</v>
      </c>
      <c r="E245" t="s">
        <v>603</v>
      </c>
    </row>
    <row r="246" spans="1:5" x14ac:dyDescent="0.25">
      <c r="A246" t="s">
        <v>604</v>
      </c>
      <c r="B246" t="s">
        <v>42</v>
      </c>
      <c r="C246" t="s">
        <v>27</v>
      </c>
      <c r="D246" t="s">
        <v>654</v>
      </c>
      <c r="E246" t="s">
        <v>605</v>
      </c>
    </row>
    <row r="247" spans="1:5" x14ac:dyDescent="0.25">
      <c r="A247" t="s">
        <v>606</v>
      </c>
      <c r="B247" t="s">
        <v>21</v>
      </c>
      <c r="C247" t="s">
        <v>22</v>
      </c>
      <c r="D247" t="s">
        <v>654</v>
      </c>
      <c r="E247" t="s">
        <v>607</v>
      </c>
    </row>
    <row r="248" spans="1:5" x14ac:dyDescent="0.25">
      <c r="A248" t="s">
        <v>608</v>
      </c>
      <c r="B248" t="s">
        <v>21</v>
      </c>
      <c r="C248" t="s">
        <v>14</v>
      </c>
      <c r="D248" t="s">
        <v>609</v>
      </c>
      <c r="E248" t="s">
        <v>610</v>
      </c>
    </row>
    <row r="249" spans="1:5" x14ac:dyDescent="0.25">
      <c r="A249" t="s">
        <v>611</v>
      </c>
      <c r="B249" t="s">
        <v>26</v>
      </c>
      <c r="C249" t="s">
        <v>27</v>
      </c>
      <c r="D249" t="s">
        <v>654</v>
      </c>
      <c r="E249" t="s">
        <v>612</v>
      </c>
    </row>
    <row r="250" spans="1:5" x14ac:dyDescent="0.25">
      <c r="A250" t="s">
        <v>613</v>
      </c>
      <c r="B250" t="s">
        <v>654</v>
      </c>
      <c r="C250" t="s">
        <v>654</v>
      </c>
      <c r="D250" t="s">
        <v>614</v>
      </c>
      <c r="E250" t="s">
        <v>27</v>
      </c>
    </row>
    <row r="251" spans="1:5" x14ac:dyDescent="0.25">
      <c r="A251" t="s">
        <v>615</v>
      </c>
      <c r="B251" t="s">
        <v>6</v>
      </c>
      <c r="C251" t="s">
        <v>7</v>
      </c>
      <c r="D251" t="s">
        <v>654</v>
      </c>
      <c r="E251" t="s">
        <v>616</v>
      </c>
    </row>
    <row r="252" spans="1:5" x14ac:dyDescent="0.25">
      <c r="A252" t="s">
        <v>617</v>
      </c>
      <c r="B252" t="s">
        <v>81</v>
      </c>
      <c r="C252" t="s">
        <v>7</v>
      </c>
      <c r="D252" t="s">
        <v>654</v>
      </c>
      <c r="E252" t="s">
        <v>618</v>
      </c>
    </row>
    <row r="253" spans="1:5" x14ac:dyDescent="0.25">
      <c r="A253" t="s">
        <v>619</v>
      </c>
      <c r="B253" t="s">
        <v>26</v>
      </c>
      <c r="C253" t="s">
        <v>22</v>
      </c>
      <c r="D253" t="s">
        <v>654</v>
      </c>
      <c r="E253" t="s">
        <v>620</v>
      </c>
    </row>
    <row r="254" spans="1:5" x14ac:dyDescent="0.25">
      <c r="A254" t="s">
        <v>621</v>
      </c>
      <c r="B254" t="s">
        <v>6</v>
      </c>
      <c r="C254" t="s">
        <v>27</v>
      </c>
      <c r="D254" t="s">
        <v>654</v>
      </c>
      <c r="E254" t="s">
        <v>622</v>
      </c>
    </row>
    <row r="255" spans="1:5" x14ac:dyDescent="0.25">
      <c r="A255" t="s">
        <v>623</v>
      </c>
      <c r="B255" t="s">
        <v>6</v>
      </c>
      <c r="C255" t="s">
        <v>654</v>
      </c>
      <c r="D255" t="s">
        <v>654</v>
      </c>
      <c r="E255" t="s">
        <v>624</v>
      </c>
    </row>
    <row r="256" spans="1:5" x14ac:dyDescent="0.25">
      <c r="A256" t="s">
        <v>625</v>
      </c>
      <c r="B256" t="s">
        <v>6</v>
      </c>
      <c r="C256" t="s">
        <v>7</v>
      </c>
      <c r="D256" t="s">
        <v>654</v>
      </c>
      <c r="E256" t="s">
        <v>626</v>
      </c>
    </row>
    <row r="257" spans="1:5" x14ac:dyDescent="0.25">
      <c r="A257" t="s">
        <v>627</v>
      </c>
      <c r="B257" t="s">
        <v>6</v>
      </c>
      <c r="C257" t="s">
        <v>7</v>
      </c>
      <c r="D257" t="s">
        <v>654</v>
      </c>
      <c r="E257" t="s">
        <v>628</v>
      </c>
    </row>
    <row r="258" spans="1:5" x14ac:dyDescent="0.25">
      <c r="A258" t="s">
        <v>629</v>
      </c>
      <c r="B258" t="s">
        <v>42</v>
      </c>
      <c r="C258" t="s">
        <v>22</v>
      </c>
      <c r="D258" t="s">
        <v>654</v>
      </c>
      <c r="E258" t="s">
        <v>630</v>
      </c>
    </row>
    <row r="259" spans="1:5" x14ac:dyDescent="0.25">
      <c r="A259" t="s">
        <v>631</v>
      </c>
      <c r="B259" t="s">
        <v>42</v>
      </c>
      <c r="C259" t="s">
        <v>22</v>
      </c>
      <c r="D259" t="s">
        <v>654</v>
      </c>
      <c r="E259" t="s">
        <v>632</v>
      </c>
    </row>
    <row r="260" spans="1:5" x14ac:dyDescent="0.25">
      <c r="A260" t="s">
        <v>633</v>
      </c>
      <c r="B260" t="s">
        <v>654</v>
      </c>
      <c r="C260" t="s">
        <v>654</v>
      </c>
      <c r="D260" t="s">
        <v>654</v>
      </c>
      <c r="E260" t="s">
        <v>634</v>
      </c>
    </row>
    <row r="261" spans="1:5" x14ac:dyDescent="0.25">
      <c r="A261" t="s">
        <v>635</v>
      </c>
      <c r="B261" t="s">
        <v>42</v>
      </c>
      <c r="C261" t="s">
        <v>27</v>
      </c>
      <c r="D261" t="s">
        <v>65</v>
      </c>
      <c r="E261" t="s">
        <v>636</v>
      </c>
    </row>
    <row r="262" spans="1:5" x14ac:dyDescent="0.25">
      <c r="A262" t="s">
        <v>637</v>
      </c>
      <c r="B262" t="s">
        <v>26</v>
      </c>
      <c r="C262" t="s">
        <v>27</v>
      </c>
      <c r="D262" t="s">
        <v>654</v>
      </c>
      <c r="E262" t="s">
        <v>638</v>
      </c>
    </row>
    <row r="263" spans="1:5" x14ac:dyDescent="0.25">
      <c r="A263" t="s">
        <v>639</v>
      </c>
      <c r="B263" t="s">
        <v>13</v>
      </c>
      <c r="C263" t="s">
        <v>14</v>
      </c>
      <c r="D263" t="s">
        <v>640</v>
      </c>
      <c r="E263" t="s">
        <v>641</v>
      </c>
    </row>
    <row r="264" spans="1:5" x14ac:dyDescent="0.25">
      <c r="A264" t="s">
        <v>642</v>
      </c>
      <c r="B264" t="s">
        <v>21</v>
      </c>
      <c r="C264" t="s">
        <v>27</v>
      </c>
      <c r="D264" t="s">
        <v>98</v>
      </c>
      <c r="E264" t="s">
        <v>643</v>
      </c>
    </row>
    <row r="265" spans="1:5" x14ac:dyDescent="0.25">
      <c r="A265" t="s">
        <v>644</v>
      </c>
      <c r="B265" t="s">
        <v>21</v>
      </c>
      <c r="C265" t="s">
        <v>22</v>
      </c>
      <c r="D265" t="s">
        <v>645</v>
      </c>
      <c r="E265" t="s">
        <v>646</v>
      </c>
    </row>
    <row r="266" spans="1:5" ht="75" x14ac:dyDescent="0.25">
      <c r="A266" t="s">
        <v>647</v>
      </c>
      <c r="B266" t="s">
        <v>21</v>
      </c>
      <c r="C266" t="s">
        <v>22</v>
      </c>
      <c r="D266" s="1" t="s">
        <v>648</v>
      </c>
      <c r="E266" t="s">
        <v>649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Metadata_Country_API_SP.POP.TOT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ADETAYO ADU</dc:creator>
  <cp:lastModifiedBy>TEEADU</cp:lastModifiedBy>
  <dcterms:created xsi:type="dcterms:W3CDTF">2026-05-20T12:55:46Z</dcterms:created>
  <dcterms:modified xsi:type="dcterms:W3CDTF">2026-06-03T14:22:16Z</dcterms:modified>
</cp:coreProperties>
</file>